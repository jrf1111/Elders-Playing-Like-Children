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3" codeName="{AFA277B2-9F3A-2204-9086-A6A6A873D73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r-f/Desktop/Professional work/UT Tyler contract work/Elders Playing Like Children/Elders-Playing-Like-Children/"/>
    </mc:Choice>
  </mc:AlternateContent>
  <xr:revisionPtr revIDLastSave="0" documentId="13_ncr:1_{DC086665-81E7-564D-9158-85B1C45B5B9A}" xr6:coauthVersionLast="45" xr6:coauthVersionMax="45" xr10:uidLastSave="{00000000-0000-0000-0000-000000000000}"/>
  <bookViews>
    <workbookView xWindow="0" yWindow="460" windowWidth="21800" windowHeight="19760" xr2:uid="{8D39E47A-B475-5846-B26E-B62C0DA3014B}"/>
  </bookViews>
  <sheets>
    <sheet name="Sheet1" sheetId="1" r:id="rId1"/>
  </sheets>
  <definedNames>
    <definedName name="_xlnm._FilterDatabase" localSheetId="0" hidden="1">Sheet1!$A$3:$E$102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86" i="1" l="1"/>
  <c r="E86" i="1" s="1"/>
  <c r="D87" i="1"/>
  <c r="E87" i="1" s="1"/>
  <c r="D88" i="1"/>
  <c r="E88" i="1" s="1"/>
  <c r="D89" i="1"/>
  <c r="E89" i="1" s="1"/>
  <c r="D90" i="1"/>
  <c r="E90" i="1" s="1"/>
  <c r="D91" i="1"/>
  <c r="E91" i="1" s="1"/>
  <c r="D92" i="1"/>
  <c r="E92" i="1" s="1"/>
  <c r="D93" i="1"/>
  <c r="E93" i="1" s="1"/>
  <c r="D94" i="1"/>
  <c r="E94" i="1" s="1"/>
  <c r="D95" i="1"/>
  <c r="E95" i="1" s="1"/>
  <c r="D96" i="1"/>
  <c r="E96" i="1" s="1"/>
  <c r="D97" i="1"/>
  <c r="E97" i="1" s="1"/>
  <c r="D98" i="1"/>
  <c r="E98" i="1" s="1"/>
  <c r="D99" i="1"/>
  <c r="E99" i="1" s="1"/>
  <c r="D100" i="1"/>
  <c r="E100" i="1" s="1"/>
  <c r="D101" i="1"/>
  <c r="E101" i="1" s="1"/>
  <c r="D102" i="1"/>
  <c r="E102" i="1" s="1"/>
  <c r="D103" i="1"/>
  <c r="E103" i="1" s="1"/>
  <c r="D104" i="1"/>
  <c r="E104" i="1" s="1"/>
  <c r="D105" i="1"/>
  <c r="E105" i="1" s="1"/>
  <c r="D106" i="1"/>
  <c r="E106" i="1" s="1"/>
  <c r="D107" i="1"/>
  <c r="E107" i="1" s="1"/>
  <c r="D108" i="1"/>
  <c r="E108" i="1" s="1"/>
  <c r="D109" i="1"/>
  <c r="E109" i="1" s="1"/>
  <c r="D110" i="1"/>
  <c r="E110" i="1" s="1"/>
  <c r="D111" i="1"/>
  <c r="E111" i="1" s="1"/>
  <c r="D112" i="1"/>
  <c r="E112" i="1" s="1"/>
  <c r="D113" i="1"/>
  <c r="E113" i="1" s="1"/>
  <c r="D114" i="1"/>
  <c r="E114" i="1" s="1"/>
  <c r="D115" i="1"/>
  <c r="E115" i="1" s="1"/>
  <c r="D116" i="1"/>
  <c r="E116" i="1" s="1"/>
  <c r="D117" i="1"/>
  <c r="E117" i="1" s="1"/>
  <c r="D118" i="1"/>
  <c r="E118" i="1" s="1"/>
  <c r="D119" i="1"/>
  <c r="E119" i="1" s="1"/>
  <c r="D120" i="1"/>
  <c r="E120" i="1" s="1"/>
  <c r="D121" i="1"/>
  <c r="E121" i="1" s="1"/>
  <c r="D122" i="1"/>
  <c r="E122" i="1" s="1"/>
  <c r="D123" i="1"/>
  <c r="E123" i="1" s="1"/>
  <c r="D124" i="1"/>
  <c r="E124" i="1" s="1"/>
  <c r="D125" i="1"/>
  <c r="E125" i="1" s="1"/>
  <c r="D126" i="1"/>
  <c r="E126" i="1" s="1"/>
  <c r="D127" i="1"/>
  <c r="E127" i="1" s="1"/>
  <c r="D128" i="1"/>
  <c r="E128" i="1" s="1"/>
  <c r="D129" i="1"/>
  <c r="E129" i="1" s="1"/>
  <c r="D130" i="1"/>
  <c r="E130" i="1" s="1"/>
  <c r="D30" i="1" l="1"/>
  <c r="E30" i="1" s="1"/>
  <c r="D31" i="1"/>
  <c r="E31" i="1" s="1"/>
  <c r="D32" i="1"/>
  <c r="E32" i="1" s="1"/>
  <c r="D33" i="1"/>
  <c r="E33" i="1" s="1"/>
  <c r="D34" i="1"/>
  <c r="E34" i="1" s="1"/>
  <c r="D35" i="1"/>
  <c r="E35" i="1" s="1"/>
  <c r="D36" i="1"/>
  <c r="E36" i="1" s="1"/>
  <c r="D37" i="1"/>
  <c r="E37" i="1" s="1"/>
  <c r="D38" i="1"/>
  <c r="E38" i="1" s="1"/>
  <c r="D39" i="1"/>
  <c r="E39" i="1" s="1"/>
  <c r="D40" i="1"/>
  <c r="E40" i="1" s="1"/>
  <c r="D41" i="1"/>
  <c r="E41" i="1" s="1"/>
  <c r="D43" i="1"/>
  <c r="E43" i="1" s="1"/>
  <c r="D44" i="1"/>
  <c r="E44" i="1" s="1"/>
  <c r="D45" i="1"/>
  <c r="E45" i="1" s="1"/>
  <c r="D46" i="1"/>
  <c r="E46" i="1" s="1"/>
  <c r="D47" i="1"/>
  <c r="E47" i="1" s="1"/>
  <c r="D48" i="1"/>
  <c r="E48" i="1" s="1"/>
  <c r="D49" i="1"/>
  <c r="E49" i="1" s="1"/>
  <c r="D50" i="1"/>
  <c r="E50" i="1" s="1"/>
  <c r="D51" i="1"/>
  <c r="E51" i="1" s="1"/>
  <c r="D52" i="1"/>
  <c r="E52" i="1" s="1"/>
  <c r="D53" i="1"/>
  <c r="E53" i="1" s="1"/>
  <c r="D54" i="1"/>
  <c r="E54" i="1" s="1"/>
  <c r="D55" i="1"/>
  <c r="E55" i="1" s="1"/>
  <c r="D56" i="1"/>
  <c r="E56" i="1" s="1"/>
  <c r="D57" i="1"/>
  <c r="E57" i="1" s="1"/>
  <c r="D58" i="1"/>
  <c r="E58" i="1" s="1"/>
  <c r="D59" i="1"/>
  <c r="E59" i="1" s="1"/>
  <c r="D60" i="1"/>
  <c r="E60" i="1" s="1"/>
  <c r="D61" i="1"/>
  <c r="E61" i="1" s="1"/>
  <c r="D62" i="1"/>
  <c r="E62" i="1" s="1"/>
  <c r="D63" i="1"/>
  <c r="E63" i="1" s="1"/>
  <c r="D64" i="1"/>
  <c r="E64" i="1" s="1"/>
  <c r="D65" i="1"/>
  <c r="E65" i="1" s="1"/>
  <c r="D66" i="1"/>
  <c r="E66" i="1" s="1"/>
  <c r="D67" i="1"/>
  <c r="E67" i="1" s="1"/>
  <c r="D68" i="1"/>
  <c r="E68" i="1" s="1"/>
  <c r="D69" i="1"/>
  <c r="E69" i="1" s="1"/>
  <c r="D70" i="1"/>
  <c r="E70" i="1" s="1"/>
  <c r="D71" i="1"/>
  <c r="E71" i="1" s="1"/>
  <c r="D72" i="1"/>
  <c r="E72" i="1" s="1"/>
  <c r="D73" i="1"/>
  <c r="E73" i="1" s="1"/>
  <c r="D74" i="1"/>
  <c r="E74" i="1" s="1"/>
  <c r="D75" i="1"/>
  <c r="E75" i="1" s="1"/>
  <c r="D76" i="1"/>
  <c r="E76" i="1" s="1"/>
  <c r="D77" i="1"/>
  <c r="E77" i="1" s="1"/>
  <c r="D78" i="1"/>
  <c r="E78" i="1" s="1"/>
  <c r="D79" i="1"/>
  <c r="E79" i="1" s="1"/>
  <c r="D80" i="1"/>
  <c r="E80" i="1" s="1"/>
  <c r="D81" i="1"/>
  <c r="E81" i="1" s="1"/>
  <c r="D82" i="1"/>
  <c r="E82" i="1" s="1"/>
  <c r="D83" i="1"/>
  <c r="E83" i="1" s="1"/>
  <c r="D84" i="1"/>
  <c r="E84" i="1" s="1"/>
  <c r="D85" i="1"/>
  <c r="E85" i="1" s="1"/>
  <c r="F3" i="1" l="1"/>
  <c r="I3" i="1" s="1"/>
  <c r="D5" i="1"/>
  <c r="E5" i="1" s="1"/>
  <c r="D6" i="1"/>
  <c r="E6" i="1" s="1"/>
  <c r="D7" i="1"/>
  <c r="E7" i="1" s="1"/>
  <c r="D8" i="1"/>
  <c r="E8" i="1" s="1"/>
  <c r="D9" i="1"/>
  <c r="E9" i="1" s="1"/>
  <c r="D10" i="1"/>
  <c r="E10" i="1" s="1"/>
  <c r="D11" i="1"/>
  <c r="E11" i="1" s="1"/>
  <c r="D12" i="1"/>
  <c r="E12" i="1" s="1"/>
  <c r="D13" i="1"/>
  <c r="E13" i="1" s="1"/>
  <c r="D14" i="1"/>
  <c r="E14" i="1" s="1"/>
  <c r="D15" i="1"/>
  <c r="E15" i="1" s="1"/>
  <c r="D16" i="1"/>
  <c r="E16" i="1" s="1"/>
  <c r="D17" i="1"/>
  <c r="E17" i="1" s="1"/>
  <c r="D18" i="1"/>
  <c r="E18" i="1" s="1"/>
  <c r="D19" i="1"/>
  <c r="E19" i="1" s="1"/>
  <c r="D20" i="1"/>
  <c r="E20" i="1" s="1"/>
  <c r="D21" i="1"/>
  <c r="E21" i="1" s="1"/>
  <c r="D22" i="1"/>
  <c r="E22" i="1" s="1"/>
  <c r="D23" i="1"/>
  <c r="E23" i="1" s="1"/>
  <c r="D24" i="1"/>
  <c r="E24" i="1" s="1"/>
  <c r="D25" i="1"/>
  <c r="E25" i="1" s="1"/>
  <c r="D26" i="1"/>
  <c r="E26" i="1" s="1"/>
  <c r="D27" i="1"/>
  <c r="E27" i="1" s="1"/>
  <c r="D28" i="1"/>
  <c r="E28" i="1" s="1"/>
  <c r="D29" i="1"/>
  <c r="E29" i="1" s="1"/>
  <c r="D4" i="1"/>
  <c r="E4" i="1" s="1"/>
</calcChain>
</file>

<file path=xl/sharedStrings.xml><?xml version="1.0" encoding="utf-8"?>
<sst xmlns="http://schemas.openxmlformats.org/spreadsheetml/2006/main" count="92" uniqueCount="23">
  <si>
    <t>Start</t>
  </si>
  <si>
    <t>End</t>
  </si>
  <si>
    <t>Duration</t>
  </si>
  <si>
    <t>Hours</t>
  </si>
  <si>
    <t>1 Transfer and consolidate NEDS data.R</t>
  </si>
  <si>
    <t>2 convert to database.R</t>
  </si>
  <si>
    <t>Description/file</t>
  </si>
  <si>
    <t>Hours left</t>
  </si>
  <si>
    <t>3 join files.R</t>
  </si>
  <si>
    <t>TMPM calculations &amp; optimizing</t>
  </si>
  <si>
    <t>4 analysis.Rmd</t>
  </si>
  <si>
    <t>Recreating database with PostgreSQL</t>
  </si>
  <si>
    <t>May 11 to May 22 (approx. hours)</t>
  </si>
  <si>
    <t>NA</t>
  </si>
  <si>
    <t>2 convert to database.R; adding comorbidity scores</t>
  </si>
  <si>
    <t>3 join files.R, 4 analysis.Rmd</t>
  </si>
  <si>
    <t>4 analysis.Rmd; icd9_to_Barell.R</t>
  </si>
  <si>
    <t>4 analysis.Rmd; results tables</t>
  </si>
  <si>
    <t>5-mortality-model.Rmd</t>
  </si>
  <si>
    <t>6-charges-model.Rmd</t>
  </si>
  <si>
    <t>Phone call</t>
  </si>
  <si>
    <t>Update to use ecodes instead of pre-dot ecode groups</t>
  </si>
  <si>
    <t>5-mortality-model.Rmd; 6-charges-model.Rmd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</si>
</sst>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h]:mm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22" fontId="0" fillId="0" borderId="0" xfId="0" applyNumberFormat="1"/>
    <xf numFmtId="16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12700</xdr:rowOff>
        </xdr:from>
        <xdr:to>
          <xdr:col>0</xdr:col>
          <xdr:colOff>1511300</xdr:colOff>
          <xdr:row>1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254000</xdr:colOff>
          <xdr:row>0</xdr:row>
          <xdr:rowOff>12700</xdr:rowOff>
        </xdr:from>
        <xdr:to>
          <xdr:col>1</xdr:col>
          <xdr:colOff>1524000</xdr:colOff>
          <xdr:row>1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Clock-out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951437-87DD-8E44-9D09-268AB839A855}">
  <sheetPr codeName="Sheet1"/>
  <dimension ref="A3:I130"/>
  <sheetViews>
    <sheetView tabSelected="1" zoomScale="118" zoomScaleNormal="118" workbookViewId="0">
      <pane ySplit="3" topLeftCell="A62" activePane="bottomLeft" state="frozen"/>
      <selection pane="bottomLeft" activeCell="C88" sqref="C88"/>
    </sheetView>
  </sheetViews>
  <sheetFormatPr baseColWidth="10" defaultRowHeight="16" x14ac:dyDescent="0.2"/>
  <cols>
    <col min="1" max="2" width="22.83203125" customWidth="1"/>
    <col min="3" max="3" width="18.5" customWidth="1"/>
    <col min="4" max="5" width="15.6640625" customWidth="1"/>
    <col min="6" max="6" width="11.33203125" bestFit="1" customWidth="1"/>
  </cols>
  <sheetData>
    <row r="3" spans="1:9" x14ac:dyDescent="0.2">
      <c r="A3" t="s">
        <v>0</v>
      </c>
      <c r="B3" t="s">
        <v>1</v>
      </c>
      <c r="C3" t="s">
        <v>6</v>
      </c>
      <c r="D3" t="s">
        <v>2</v>
      </c>
      <c r="E3" t="s">
        <v>3</v>
      </c>
      <c r="F3" s="3">
        <f>SUMIF(E4:E502, "&gt;0")</f>
        <v>156.09999999933643</v>
      </c>
      <c r="H3" t="s">
        <v>7</v>
      </c>
      <c r="I3" s="3">
        <f>320-F3</f>
        <v>163.90000000066357</v>
      </c>
    </row>
    <row r="4" spans="1:9" x14ac:dyDescent="0.2">
      <c r="A4" s="1">
        <v>43917.582048611112</v>
      </c>
      <c r="B4" s="1">
        <v>43917.697638888887</v>
      </c>
      <c r="C4" s="1" t="s">
        <v>4</v>
      </c>
      <c r="D4" s="2">
        <f>B4-A4</f>
        <v>0.11559027777548181</v>
      </c>
      <c r="E4" s="3">
        <f>D4*24</f>
        <v>2.7741666666115634</v>
      </c>
    </row>
    <row r="5" spans="1:9" x14ac:dyDescent="0.2">
      <c r="A5" s="1">
        <v>43918.714004629626</v>
      </c>
      <c r="B5" s="1">
        <v>43918.728622685187</v>
      </c>
      <c r="C5" s="1" t="s">
        <v>4</v>
      </c>
      <c r="D5" s="2">
        <f t="shared" ref="D5:D29" si="0">B5-A5</f>
        <v>1.4618055560276844E-2</v>
      </c>
      <c r="E5" s="3">
        <f t="shared" ref="E5:E29" si="1">D5*24</f>
        <v>0.35083333344664425</v>
      </c>
    </row>
    <row r="6" spans="1:9" x14ac:dyDescent="0.2">
      <c r="A6" s="1">
        <v>43919.545601851853</v>
      </c>
      <c r="B6" s="1">
        <v>43919.611689814818</v>
      </c>
      <c r="C6" s="1" t="s">
        <v>4</v>
      </c>
      <c r="D6" s="2">
        <f t="shared" si="0"/>
        <v>6.6087962964957114E-2</v>
      </c>
      <c r="E6" s="3">
        <f t="shared" si="1"/>
        <v>1.5861111111589707</v>
      </c>
    </row>
    <row r="7" spans="1:9" x14ac:dyDescent="0.2">
      <c r="A7" s="1">
        <v>43920.280624999999</v>
      </c>
      <c r="B7" s="1">
        <v>43920.341608796298</v>
      </c>
      <c r="C7" s="1" t="s">
        <v>4</v>
      </c>
      <c r="D7" s="2">
        <f t="shared" si="0"/>
        <v>6.098379629838746E-2</v>
      </c>
      <c r="E7" s="3">
        <f t="shared" si="1"/>
        <v>1.463611111161299</v>
      </c>
    </row>
    <row r="8" spans="1:9" x14ac:dyDescent="0.2">
      <c r="A8" s="1">
        <v>43920.558564814812</v>
      </c>
      <c r="B8" s="1">
        <v>43920.620578703703</v>
      </c>
      <c r="C8" s="1" t="s">
        <v>4</v>
      </c>
      <c r="D8" s="2">
        <f t="shared" si="0"/>
        <v>6.2013888891669922E-2</v>
      </c>
      <c r="E8" s="3">
        <f t="shared" si="1"/>
        <v>1.4883333334000781</v>
      </c>
    </row>
    <row r="9" spans="1:9" x14ac:dyDescent="0.2">
      <c r="A9" s="1">
        <v>43920.697233796294</v>
      </c>
      <c r="B9" s="1">
        <v>43920.769282407404</v>
      </c>
      <c r="C9" s="1" t="s">
        <v>4</v>
      </c>
      <c r="D9" s="2">
        <f t="shared" si="0"/>
        <v>7.2048611109494232E-2</v>
      </c>
      <c r="E9" s="3">
        <f t="shared" si="1"/>
        <v>1.7291666666278616</v>
      </c>
    </row>
    <row r="10" spans="1:9" x14ac:dyDescent="0.2">
      <c r="A10" s="1">
        <v>43921.298229166663</v>
      </c>
      <c r="B10" s="1">
        <v>43921.375081018516</v>
      </c>
      <c r="C10" s="1" t="s">
        <v>4</v>
      </c>
      <c r="D10" s="2">
        <f t="shared" si="0"/>
        <v>7.68518518525525E-2</v>
      </c>
      <c r="E10" s="3">
        <f t="shared" si="1"/>
        <v>1.84444444446126</v>
      </c>
    </row>
    <row r="11" spans="1:9" x14ac:dyDescent="0.2">
      <c r="A11" s="1">
        <v>43921.422685185185</v>
      </c>
      <c r="B11" s="1">
        <v>43921.465798611112</v>
      </c>
      <c r="C11" s="1" t="s">
        <v>4</v>
      </c>
      <c r="D11" s="2">
        <f t="shared" si="0"/>
        <v>4.3113425927003846E-2</v>
      </c>
      <c r="E11" s="3">
        <f t="shared" si="1"/>
        <v>1.0347222222480923</v>
      </c>
    </row>
    <row r="12" spans="1:9" x14ac:dyDescent="0.2">
      <c r="A12" s="1">
        <v>43921.476041666669</v>
      </c>
      <c r="B12" s="1">
        <v>43921.510034722225</v>
      </c>
      <c r="C12" s="1" t="s">
        <v>4</v>
      </c>
      <c r="D12" s="2">
        <f t="shared" si="0"/>
        <v>3.3993055556493346E-2</v>
      </c>
      <c r="E12" s="3">
        <f t="shared" si="1"/>
        <v>0.8158333333558403</v>
      </c>
    </row>
    <row r="13" spans="1:9" x14ac:dyDescent="0.2">
      <c r="A13" s="1">
        <v>43921.534270833334</v>
      </c>
      <c r="B13" s="1">
        <v>43921.723877314813</v>
      </c>
      <c r="C13" s="1" t="s">
        <v>4</v>
      </c>
      <c r="D13" s="2">
        <f t="shared" si="0"/>
        <v>0.18960648147913162</v>
      </c>
      <c r="E13" s="3">
        <f t="shared" si="1"/>
        <v>4.5505555554991588</v>
      </c>
    </row>
    <row r="14" spans="1:9" x14ac:dyDescent="0.2">
      <c r="A14" s="1">
        <v>43922.381921296299</v>
      </c>
      <c r="B14" s="1">
        <v>43922.398692129631</v>
      </c>
      <c r="C14" s="1" t="s">
        <v>4</v>
      </c>
      <c r="D14" s="2">
        <f t="shared" si="0"/>
        <v>1.6770833331975155E-2</v>
      </c>
      <c r="E14" s="3">
        <f t="shared" si="1"/>
        <v>0.40249999996740371</v>
      </c>
    </row>
    <row r="15" spans="1:9" x14ac:dyDescent="0.2">
      <c r="A15" s="1">
        <v>43927.265185185184</v>
      </c>
      <c r="B15" s="1">
        <v>43927.378483796296</v>
      </c>
      <c r="C15" s="1" t="s">
        <v>4</v>
      </c>
      <c r="D15" s="2">
        <f t="shared" si="0"/>
        <v>0.1132986111115315</v>
      </c>
      <c r="E15" s="3">
        <f t="shared" si="1"/>
        <v>2.719166666676756</v>
      </c>
    </row>
    <row r="16" spans="1:9" x14ac:dyDescent="0.2">
      <c r="A16" s="1">
        <v>43928.323680555557</v>
      </c>
      <c r="B16" s="1">
        <v>43928.360682870371</v>
      </c>
      <c r="C16" s="1" t="s">
        <v>4</v>
      </c>
      <c r="D16" s="2">
        <f t="shared" si="0"/>
        <v>3.7002314813435078E-2</v>
      </c>
      <c r="E16" s="3">
        <f t="shared" si="1"/>
        <v>0.88805555552244186</v>
      </c>
    </row>
    <row r="17" spans="1:5" x14ac:dyDescent="0.2">
      <c r="A17" s="1">
        <v>43928.371365740742</v>
      </c>
      <c r="B17" s="1">
        <v>43928.440891203703</v>
      </c>
      <c r="C17" s="1" t="s">
        <v>4</v>
      </c>
      <c r="D17" s="2">
        <f t="shared" si="0"/>
        <v>6.9525462960882578E-2</v>
      </c>
      <c r="E17" s="3">
        <f t="shared" si="1"/>
        <v>1.6686111110611819</v>
      </c>
    </row>
    <row r="18" spans="1:5" x14ac:dyDescent="0.2">
      <c r="A18" s="1">
        <v>43928.487916666665</v>
      </c>
      <c r="B18" s="1">
        <v>43928.770995370367</v>
      </c>
      <c r="C18" t="s">
        <v>5</v>
      </c>
      <c r="D18" s="2">
        <f t="shared" si="0"/>
        <v>0.28307870370190358</v>
      </c>
      <c r="E18" s="3">
        <f t="shared" si="1"/>
        <v>6.7938888888456859</v>
      </c>
    </row>
    <row r="19" spans="1:5" x14ac:dyDescent="0.2">
      <c r="A19" s="1">
        <v>43929.314733796295</v>
      </c>
      <c r="B19" s="1">
        <v>43929.352800925924</v>
      </c>
      <c r="C19" t="s">
        <v>5</v>
      </c>
      <c r="D19" s="2">
        <f t="shared" si="0"/>
        <v>3.8067129629780538E-2</v>
      </c>
      <c r="E19" s="3">
        <f t="shared" si="1"/>
        <v>0.91361111111473292</v>
      </c>
    </row>
    <row r="20" spans="1:5" x14ac:dyDescent="0.2">
      <c r="A20" s="1">
        <v>43929.844664351855</v>
      </c>
      <c r="B20" s="1">
        <v>43929.867569444446</v>
      </c>
      <c r="C20" t="s">
        <v>5</v>
      </c>
      <c r="D20" s="2">
        <f t="shared" si="0"/>
        <v>2.290509259182727E-2</v>
      </c>
      <c r="E20" s="3">
        <f t="shared" si="1"/>
        <v>0.54972222220385447</v>
      </c>
    </row>
    <row r="21" spans="1:5" x14ac:dyDescent="0.2">
      <c r="A21" s="1">
        <v>43930.345613425925</v>
      </c>
      <c r="B21" s="1">
        <v>43930.401585648149</v>
      </c>
      <c r="C21" t="s">
        <v>5</v>
      </c>
      <c r="D21" s="2">
        <f t="shared" si="0"/>
        <v>5.5972222224227153E-2</v>
      </c>
      <c r="E21" s="3">
        <f t="shared" si="1"/>
        <v>1.3433333333814517</v>
      </c>
    </row>
    <row r="22" spans="1:5" x14ac:dyDescent="0.2">
      <c r="A22" s="1">
        <v>43931.530798611115</v>
      </c>
      <c r="B22" s="1">
        <v>43931.542187500003</v>
      </c>
      <c r="C22" t="s">
        <v>5</v>
      </c>
      <c r="D22" s="2">
        <f t="shared" si="0"/>
        <v>1.1388888888177462E-2</v>
      </c>
      <c r="E22" s="3">
        <f t="shared" si="1"/>
        <v>0.27333333331625909</v>
      </c>
    </row>
    <row r="23" spans="1:5" x14ac:dyDescent="0.2">
      <c r="A23" s="1">
        <v>43931.554131944446</v>
      </c>
      <c r="B23" s="1">
        <v>43931.601689814815</v>
      </c>
      <c r="C23" t="s">
        <v>5</v>
      </c>
      <c r="D23" s="2">
        <f t="shared" si="0"/>
        <v>4.7557870369928423E-2</v>
      </c>
      <c r="E23" s="3">
        <f t="shared" si="1"/>
        <v>1.1413888888782822</v>
      </c>
    </row>
    <row r="24" spans="1:5" x14ac:dyDescent="0.2">
      <c r="A24" s="1">
        <v>43931.659050925926</v>
      </c>
      <c r="B24" s="1">
        <v>43931.721134259256</v>
      </c>
      <c r="C24" t="s">
        <v>5</v>
      </c>
      <c r="D24" s="2">
        <f t="shared" si="0"/>
        <v>6.2083333330519963E-2</v>
      </c>
      <c r="E24" s="3">
        <f t="shared" si="1"/>
        <v>1.4899999999324791</v>
      </c>
    </row>
    <row r="25" spans="1:5" x14ac:dyDescent="0.2">
      <c r="A25" s="1">
        <v>43935.337696759256</v>
      </c>
      <c r="B25" s="1">
        <v>43935.449641203704</v>
      </c>
      <c r="C25" t="s">
        <v>5</v>
      </c>
      <c r="D25" s="2">
        <f t="shared" si="0"/>
        <v>0.11194444444845431</v>
      </c>
      <c r="E25" s="3">
        <f t="shared" si="1"/>
        <v>2.6866666667629033</v>
      </c>
    </row>
    <row r="26" spans="1:5" x14ac:dyDescent="0.2">
      <c r="A26" s="1">
        <v>43935.62572916667</v>
      </c>
      <c r="B26" s="1">
        <v>43935.780266203707</v>
      </c>
      <c r="C26" t="s">
        <v>5</v>
      </c>
      <c r="D26" s="2">
        <f t="shared" si="0"/>
        <v>0.15453703703678912</v>
      </c>
      <c r="E26" s="3">
        <f t="shared" si="1"/>
        <v>3.7088888888829388</v>
      </c>
    </row>
    <row r="27" spans="1:5" x14ac:dyDescent="0.2">
      <c r="A27" s="1">
        <v>43936.277233796296</v>
      </c>
      <c r="B27" s="1">
        <v>43936.284097222226</v>
      </c>
      <c r="C27" t="s">
        <v>5</v>
      </c>
      <c r="D27" s="2">
        <f t="shared" si="0"/>
        <v>6.8634259296231903E-3</v>
      </c>
      <c r="E27" s="3">
        <f t="shared" si="1"/>
        <v>0.16472222231095657</v>
      </c>
    </row>
    <row r="28" spans="1:5" x14ac:dyDescent="0.2">
      <c r="A28" s="1">
        <v>43936.334027777775</v>
      </c>
      <c r="B28" s="1">
        <v>43936.36178240741</v>
      </c>
      <c r="C28" t="s">
        <v>5</v>
      </c>
      <c r="D28" s="2">
        <f t="shared" si="0"/>
        <v>2.775462963472819E-2</v>
      </c>
      <c r="E28" s="3">
        <f t="shared" si="1"/>
        <v>0.66611111123347655</v>
      </c>
    </row>
    <row r="29" spans="1:5" x14ac:dyDescent="0.2">
      <c r="A29" s="1">
        <v>43936.641226851854</v>
      </c>
      <c r="B29" s="1">
        <v>43936.721898148149</v>
      </c>
      <c r="C29" t="s">
        <v>5</v>
      </c>
      <c r="D29" s="2">
        <f t="shared" si="0"/>
        <v>8.0671296294895001E-2</v>
      </c>
      <c r="E29" s="3">
        <f t="shared" si="1"/>
        <v>1.93611111107748</v>
      </c>
    </row>
    <row r="30" spans="1:5" x14ac:dyDescent="0.2">
      <c r="A30" s="1">
        <v>43938.610208333332</v>
      </c>
      <c r="B30" s="1">
        <v>43938.673263888886</v>
      </c>
      <c r="C30" t="s">
        <v>5</v>
      </c>
      <c r="D30" s="2">
        <f t="shared" ref="D30:D85" si="2">B30-A30</f>
        <v>6.3055555554456078E-2</v>
      </c>
      <c r="E30" s="3">
        <f t="shared" ref="E30:E85" si="3">D30*24</f>
        <v>1.5133333333069459</v>
      </c>
    </row>
    <row r="31" spans="1:5" x14ac:dyDescent="0.2">
      <c r="A31" s="1">
        <v>43938.674027777779</v>
      </c>
      <c r="B31" s="1">
        <v>43938.720393518517</v>
      </c>
      <c r="C31" t="s">
        <v>8</v>
      </c>
      <c r="D31" s="2">
        <f t="shared" si="2"/>
        <v>4.6365740738110617E-2</v>
      </c>
      <c r="E31" s="3">
        <f t="shared" si="3"/>
        <v>1.1127777777146548</v>
      </c>
    </row>
    <row r="32" spans="1:5" x14ac:dyDescent="0.2">
      <c r="A32" s="1">
        <v>43941.692430555559</v>
      </c>
      <c r="B32" s="1">
        <v>43941.781458333331</v>
      </c>
      <c r="C32" t="s">
        <v>9</v>
      </c>
      <c r="D32" s="2">
        <f t="shared" si="2"/>
        <v>8.9027777772571426E-2</v>
      </c>
      <c r="E32" s="3">
        <f t="shared" si="3"/>
        <v>2.1366666665417142</v>
      </c>
    </row>
    <row r="33" spans="1:5" x14ac:dyDescent="0.2">
      <c r="A33" s="1">
        <v>43942.273715277777</v>
      </c>
      <c r="B33" s="1">
        <v>43942.364976851852</v>
      </c>
      <c r="C33" t="s">
        <v>9</v>
      </c>
      <c r="D33" s="2">
        <f t="shared" si="2"/>
        <v>9.1261574074451346E-2</v>
      </c>
      <c r="E33" s="3">
        <f t="shared" si="3"/>
        <v>2.1902777777868323</v>
      </c>
    </row>
    <row r="34" spans="1:5" x14ac:dyDescent="0.2">
      <c r="A34" s="1">
        <v>43942.713055555556</v>
      </c>
      <c r="B34" s="1">
        <v>43942.793425925927</v>
      </c>
      <c r="C34" t="s">
        <v>9</v>
      </c>
      <c r="D34" s="2">
        <f t="shared" si="2"/>
        <v>8.0370370371383615E-2</v>
      </c>
      <c r="E34" s="3">
        <f t="shared" si="3"/>
        <v>1.9288888889132068</v>
      </c>
    </row>
    <row r="35" spans="1:5" x14ac:dyDescent="0.2">
      <c r="A35" s="1">
        <v>43945.344375000001</v>
      </c>
      <c r="B35" s="1">
        <v>43945.398240740738</v>
      </c>
      <c r="C35" t="s">
        <v>9</v>
      </c>
      <c r="D35" s="2">
        <f t="shared" si="2"/>
        <v>5.3865740737819578E-2</v>
      </c>
      <c r="E35" s="3">
        <f t="shared" si="3"/>
        <v>1.2927777777076699</v>
      </c>
    </row>
    <row r="36" spans="1:5" x14ac:dyDescent="0.2">
      <c r="A36" s="1">
        <v>43945.44835648148</v>
      </c>
      <c r="B36" s="1">
        <v>43945.563368055555</v>
      </c>
      <c r="C36" t="s">
        <v>9</v>
      </c>
      <c r="D36" s="2">
        <f t="shared" si="2"/>
        <v>0.11501157407474238</v>
      </c>
      <c r="E36" s="3">
        <f t="shared" si="3"/>
        <v>2.7602777777938172</v>
      </c>
    </row>
    <row r="37" spans="1:5" x14ac:dyDescent="0.2">
      <c r="A37" s="1">
        <v>43949.807384259257</v>
      </c>
      <c r="B37" s="1">
        <v>43949.82534722222</v>
      </c>
      <c r="C37" t="s">
        <v>8</v>
      </c>
      <c r="D37" s="2">
        <f t="shared" si="2"/>
        <v>1.7962962963792961E-2</v>
      </c>
      <c r="E37" s="3">
        <f t="shared" si="3"/>
        <v>0.43111111113103107</v>
      </c>
    </row>
    <row r="38" spans="1:5" x14ac:dyDescent="0.2">
      <c r="A38" s="1">
        <v>43957.308310185188</v>
      </c>
      <c r="B38" s="1">
        <v>43957.420046296298</v>
      </c>
      <c r="C38" t="s">
        <v>10</v>
      </c>
      <c r="D38" s="2">
        <f t="shared" si="2"/>
        <v>0.11173611111007631</v>
      </c>
      <c r="E38" s="3">
        <f t="shared" si="3"/>
        <v>2.6816666666418314</v>
      </c>
    </row>
    <row r="39" spans="1:5" x14ac:dyDescent="0.2">
      <c r="A39" s="1">
        <v>43960.574664351851</v>
      </c>
      <c r="B39" s="1">
        <v>43960.643391203703</v>
      </c>
      <c r="C39" t="s">
        <v>10</v>
      </c>
      <c r="D39" s="2">
        <f t="shared" si="2"/>
        <v>6.8726851852261461E-2</v>
      </c>
      <c r="E39" s="3">
        <f t="shared" si="3"/>
        <v>1.6494444444542751</v>
      </c>
    </row>
    <row r="40" spans="1:5" x14ac:dyDescent="0.2">
      <c r="A40" s="1">
        <v>43960.735995370371</v>
      </c>
      <c r="B40" s="1">
        <v>43960.826157407406</v>
      </c>
      <c r="C40" t="s">
        <v>5</v>
      </c>
      <c r="D40" s="2">
        <f t="shared" si="2"/>
        <v>9.0162037035042886E-2</v>
      </c>
      <c r="E40" s="3">
        <f t="shared" si="3"/>
        <v>2.1638888888410293</v>
      </c>
    </row>
    <row r="41" spans="1:5" x14ac:dyDescent="0.2">
      <c r="A41" s="1">
        <v>43961.503460648149</v>
      </c>
      <c r="B41" s="1">
        <v>43961.748356481483</v>
      </c>
      <c r="C41" t="s">
        <v>5</v>
      </c>
      <c r="D41" s="2">
        <f t="shared" si="2"/>
        <v>0.24489583333343035</v>
      </c>
      <c r="E41" s="3">
        <f t="shared" si="3"/>
        <v>5.8775000000023283</v>
      </c>
    </row>
    <row r="42" spans="1:5" x14ac:dyDescent="0.2">
      <c r="A42" t="s">
        <v>12</v>
      </c>
      <c r="B42" t="s">
        <v>13</v>
      </c>
      <c r="C42" t="s">
        <v>11</v>
      </c>
      <c r="D42" s="2">
        <v>0.41666666666666669</v>
      </c>
      <c r="E42" s="3">
        <v>10</v>
      </c>
    </row>
    <row r="43" spans="1:5" x14ac:dyDescent="0.2">
      <c r="A43" s="1">
        <v>43973.310231481482</v>
      </c>
      <c r="B43" s="1">
        <v>43973.322870370372</v>
      </c>
      <c r="C43" t="s">
        <v>11</v>
      </c>
      <c r="D43" s="2">
        <f t="shared" si="2"/>
        <v>1.2638888889341615E-2</v>
      </c>
      <c r="E43" s="3">
        <f t="shared" si="3"/>
        <v>0.30333333334419876</v>
      </c>
    </row>
    <row r="44" spans="1:5" x14ac:dyDescent="0.2">
      <c r="A44" s="1">
        <v>43973.592002314814</v>
      </c>
      <c r="B44" s="1">
        <v>43973.681979166664</v>
      </c>
      <c r="C44" t="s">
        <v>11</v>
      </c>
      <c r="D44" s="2">
        <f t="shared" si="2"/>
        <v>8.9976851850224193E-2</v>
      </c>
      <c r="E44" s="3">
        <f t="shared" si="3"/>
        <v>2.1594444444053806</v>
      </c>
    </row>
    <row r="45" spans="1:5" x14ac:dyDescent="0.2">
      <c r="A45" s="1">
        <v>43974.550625000003</v>
      </c>
      <c r="B45" s="1">
        <v>43974.586898148147</v>
      </c>
      <c r="C45" t="s">
        <v>10</v>
      </c>
      <c r="D45" s="2">
        <f t="shared" si="2"/>
        <v>3.6273148143664002E-2</v>
      </c>
      <c r="E45" s="3">
        <f t="shared" si="3"/>
        <v>0.87055555544793606</v>
      </c>
    </row>
    <row r="46" spans="1:5" x14ac:dyDescent="0.2">
      <c r="A46" s="1">
        <v>43974.607256944444</v>
      </c>
      <c r="B46" s="1">
        <v>43974.659907407404</v>
      </c>
      <c r="C46" t="s">
        <v>10</v>
      </c>
      <c r="D46" s="2">
        <f t="shared" si="2"/>
        <v>5.2650462959718425E-2</v>
      </c>
      <c r="E46" s="3">
        <f t="shared" si="3"/>
        <v>1.2636111110332422</v>
      </c>
    </row>
    <row r="47" spans="1:5" x14ac:dyDescent="0.2">
      <c r="A47" s="1">
        <v>43976.326932870368</v>
      </c>
      <c r="B47" s="1">
        <v>43976.351087962961</v>
      </c>
      <c r="C47" t="s">
        <v>10</v>
      </c>
      <c r="D47" s="2">
        <f t="shared" si="2"/>
        <v>2.4155092592991423E-2</v>
      </c>
      <c r="E47" s="3">
        <f t="shared" si="3"/>
        <v>0.57972222223179415</v>
      </c>
    </row>
    <row r="48" spans="1:5" x14ac:dyDescent="0.2">
      <c r="A48" s="1">
        <v>43980.679247685184</v>
      </c>
      <c r="B48" s="1">
        <v>43980.866539351853</v>
      </c>
      <c r="C48" t="s">
        <v>10</v>
      </c>
      <c r="D48" s="2">
        <f t="shared" si="2"/>
        <v>0.18729166666889796</v>
      </c>
      <c r="E48" s="3">
        <f t="shared" si="3"/>
        <v>4.495000000053551</v>
      </c>
    </row>
    <row r="49" spans="1:5" x14ac:dyDescent="0.2">
      <c r="A49" s="1">
        <v>43981.42291666667</v>
      </c>
      <c r="B49" s="1">
        <v>43981.492951388886</v>
      </c>
      <c r="C49" t="s">
        <v>10</v>
      </c>
      <c r="D49" s="2">
        <f t="shared" si="2"/>
        <v>7.0034722215496004E-2</v>
      </c>
      <c r="E49" s="3">
        <f t="shared" si="3"/>
        <v>1.6808333331719041</v>
      </c>
    </row>
    <row r="50" spans="1:5" x14ac:dyDescent="0.2">
      <c r="A50" s="1">
        <v>44031.550752314812</v>
      </c>
      <c r="B50" s="1">
        <v>44031.637303240743</v>
      </c>
      <c r="C50" t="s">
        <v>4</v>
      </c>
      <c r="D50" s="2">
        <f t="shared" si="2"/>
        <v>8.6550925931078382E-2</v>
      </c>
      <c r="E50" s="3">
        <f t="shared" si="3"/>
        <v>2.0772222223458812</v>
      </c>
    </row>
    <row r="51" spans="1:5" x14ac:dyDescent="0.2">
      <c r="A51" s="1">
        <v>44032.370694444442</v>
      </c>
      <c r="B51" s="1">
        <v>44032.381018518521</v>
      </c>
      <c r="C51" t="s">
        <v>4</v>
      </c>
      <c r="D51" s="2">
        <f t="shared" si="2"/>
        <v>1.0324074079107959E-2</v>
      </c>
      <c r="E51" s="3">
        <f t="shared" si="3"/>
        <v>0.24777777789859101</v>
      </c>
    </row>
    <row r="52" spans="1:5" x14ac:dyDescent="0.2">
      <c r="A52" s="1">
        <v>44032.453217592592</v>
      </c>
      <c r="B52" s="1">
        <v>44032.533784722225</v>
      </c>
      <c r="C52" t="s">
        <v>4</v>
      </c>
      <c r="D52" s="2">
        <f t="shared" si="2"/>
        <v>8.056712963298196E-2</v>
      </c>
      <c r="E52" s="3">
        <f t="shared" si="3"/>
        <v>1.933611111191567</v>
      </c>
    </row>
    <row r="53" spans="1:5" x14ac:dyDescent="0.2">
      <c r="A53" s="1">
        <v>44036.608148148145</v>
      </c>
      <c r="B53" s="1">
        <v>44036.733495370368</v>
      </c>
      <c r="C53" t="s">
        <v>4</v>
      </c>
      <c r="D53" s="2">
        <f t="shared" si="2"/>
        <v>0.12534722222335404</v>
      </c>
      <c r="E53" s="3">
        <f t="shared" si="3"/>
        <v>3.0083333333604969</v>
      </c>
    </row>
    <row r="54" spans="1:5" x14ac:dyDescent="0.2">
      <c r="A54" s="1">
        <v>44037.481979166667</v>
      </c>
      <c r="B54" s="1">
        <v>44037.707395833335</v>
      </c>
      <c r="C54" t="s">
        <v>4</v>
      </c>
      <c r="D54" s="2">
        <f t="shared" si="2"/>
        <v>0.22541666666802485</v>
      </c>
      <c r="E54" s="3">
        <f t="shared" si="3"/>
        <v>5.4100000000325963</v>
      </c>
    </row>
    <row r="55" spans="1:5" x14ac:dyDescent="0.2">
      <c r="A55" s="1">
        <v>44038.743078703701</v>
      </c>
      <c r="B55" s="1">
        <v>44038.847291666665</v>
      </c>
      <c r="C55" t="s">
        <v>14</v>
      </c>
      <c r="D55" s="2">
        <f t="shared" si="2"/>
        <v>0.104212962964084</v>
      </c>
      <c r="E55" s="3">
        <f t="shared" si="3"/>
        <v>2.501111111138016</v>
      </c>
    </row>
    <row r="56" spans="1:5" x14ac:dyDescent="0.2">
      <c r="A56" s="1">
        <v>44043.44085648148</v>
      </c>
      <c r="B56" s="1">
        <v>44043.505046296297</v>
      </c>
      <c r="C56" t="s">
        <v>8</v>
      </c>
      <c r="D56" s="2">
        <f t="shared" si="2"/>
        <v>6.4189814816927537E-2</v>
      </c>
      <c r="E56" s="3">
        <f t="shared" si="3"/>
        <v>1.5405555556062609</v>
      </c>
    </row>
    <row r="57" spans="1:5" x14ac:dyDescent="0.2">
      <c r="A57" s="1">
        <v>44043.611504629633</v>
      </c>
      <c r="B57" s="1">
        <v>44043.643101851849</v>
      </c>
      <c r="C57" t="s">
        <v>15</v>
      </c>
      <c r="D57" s="2">
        <f t="shared" si="2"/>
        <v>3.159722221607808E-2</v>
      </c>
      <c r="E57" s="3">
        <f t="shared" si="3"/>
        <v>0.75833333318587393</v>
      </c>
    </row>
    <row r="58" spans="1:5" x14ac:dyDescent="0.2">
      <c r="A58" s="1">
        <v>44044.541597222225</v>
      </c>
      <c r="B58" s="1">
        <v>44044.566770833335</v>
      </c>
      <c r="C58" t="s">
        <v>10</v>
      </c>
      <c r="D58" s="2">
        <f t="shared" si="2"/>
        <v>2.5173611109494232E-2</v>
      </c>
      <c r="E58" s="3">
        <f t="shared" si="3"/>
        <v>0.60416666662786156</v>
      </c>
    </row>
    <row r="59" spans="1:5" x14ac:dyDescent="0.2">
      <c r="A59" s="1">
        <v>44045.391759259262</v>
      </c>
      <c r="B59" s="1">
        <v>44045.419872685183</v>
      </c>
      <c r="C59" t="s">
        <v>10</v>
      </c>
      <c r="D59" s="2">
        <f t="shared" si="2"/>
        <v>2.8113425920309965E-2</v>
      </c>
      <c r="E59" s="3">
        <f t="shared" si="3"/>
        <v>0.67472222208743915</v>
      </c>
    </row>
    <row r="60" spans="1:5" x14ac:dyDescent="0.2">
      <c r="A60" s="1">
        <v>44058.839189814818</v>
      </c>
      <c r="B60" s="1">
        <v>44058.879884259259</v>
      </c>
      <c r="C60" t="s">
        <v>16</v>
      </c>
      <c r="D60" s="2">
        <f t="shared" si="2"/>
        <v>4.0694444440305233E-2</v>
      </c>
      <c r="E60" s="3">
        <f t="shared" si="3"/>
        <v>0.97666666656732559</v>
      </c>
    </row>
    <row r="61" spans="1:5" x14ac:dyDescent="0.2">
      <c r="A61" s="1">
        <v>44060.803078703706</v>
      </c>
      <c r="B61" s="1">
        <v>44060.854120370372</v>
      </c>
      <c r="C61" t="s">
        <v>10</v>
      </c>
      <c r="D61" s="2">
        <f t="shared" si="2"/>
        <v>5.1041666665696539E-2</v>
      </c>
      <c r="E61" s="3">
        <f t="shared" si="3"/>
        <v>1.2249999999767169</v>
      </c>
    </row>
    <row r="62" spans="1:5" x14ac:dyDescent="0.2">
      <c r="A62" s="1">
        <v>44063.800405092596</v>
      </c>
      <c r="B62" s="1">
        <v>44063.847939814812</v>
      </c>
      <c r="C62" t="s">
        <v>10</v>
      </c>
      <c r="D62" s="2">
        <f t="shared" si="2"/>
        <v>4.7534722216369119E-2</v>
      </c>
      <c r="E62" s="3">
        <f t="shared" si="3"/>
        <v>1.1408333331928588</v>
      </c>
    </row>
    <row r="63" spans="1:5" x14ac:dyDescent="0.2">
      <c r="A63" s="1">
        <v>44067.826145833336</v>
      </c>
      <c r="B63" s="1">
        <v>44067.90053240741</v>
      </c>
      <c r="C63" t="s">
        <v>10</v>
      </c>
      <c r="D63" s="2">
        <f t="shared" si="2"/>
        <v>7.4386574073287193E-2</v>
      </c>
      <c r="E63" s="3">
        <f t="shared" si="3"/>
        <v>1.7852777777588926</v>
      </c>
    </row>
    <row r="64" spans="1:5" x14ac:dyDescent="0.2">
      <c r="A64" s="1">
        <v>44072.70349537037</v>
      </c>
      <c r="B64" s="1">
        <v>44072.764907407407</v>
      </c>
      <c r="C64" t="s">
        <v>17</v>
      </c>
      <c r="D64" s="2">
        <f t="shared" si="2"/>
        <v>6.1412037037371192E-2</v>
      </c>
      <c r="E64" s="3">
        <f t="shared" si="3"/>
        <v>1.4738888888969086</v>
      </c>
    </row>
    <row r="65" spans="1:5" x14ac:dyDescent="0.2">
      <c r="A65" s="1">
        <v>44075.794421296298</v>
      </c>
      <c r="B65" s="1">
        <v>44075.824699074074</v>
      </c>
      <c r="C65" t="s">
        <v>15</v>
      </c>
      <c r="D65" s="2">
        <f t="shared" si="2"/>
        <v>3.0277777776063886E-2</v>
      </c>
      <c r="E65" s="3">
        <f t="shared" si="3"/>
        <v>0.72666666662553325</v>
      </c>
    </row>
    <row r="66" spans="1:5" x14ac:dyDescent="0.2">
      <c r="A66" s="1">
        <v>44076.709768518522</v>
      </c>
      <c r="B66" s="1">
        <v>44076.737557870372</v>
      </c>
      <c r="C66" t="s">
        <v>17</v>
      </c>
      <c r="D66" s="2">
        <f t="shared" si="2"/>
        <v>2.7789351850515231E-2</v>
      </c>
      <c r="E66" s="3">
        <f t="shared" si="3"/>
        <v>0.66694444441236556</v>
      </c>
    </row>
    <row r="67" spans="1:5" x14ac:dyDescent="0.2">
      <c r="A67" s="1">
        <v>44077.60460648148</v>
      </c>
      <c r="B67" s="1">
        <v>44077.731990740744</v>
      </c>
      <c r="C67" t="s">
        <v>18</v>
      </c>
      <c r="D67" s="2">
        <f t="shared" si="2"/>
        <v>0.12738425926363561</v>
      </c>
      <c r="E67" s="3">
        <f t="shared" si="3"/>
        <v>3.0572222223272547</v>
      </c>
    </row>
    <row r="68" spans="1:5" x14ac:dyDescent="0.2">
      <c r="A68" s="1">
        <v>44079.561608796299</v>
      </c>
      <c r="B68" s="1">
        <v>44079.655856481484</v>
      </c>
      <c r="C68" t="s">
        <v>18</v>
      </c>
      <c r="D68" s="2">
        <f t="shared" si="2"/>
        <v>9.4247685185109731E-2</v>
      </c>
      <c r="E68" s="3">
        <f t="shared" si="3"/>
        <v>2.2619444444426335</v>
      </c>
    </row>
    <row r="69" spans="1:5" x14ac:dyDescent="0.2">
      <c r="A69" s="1">
        <v>44080.47625</v>
      </c>
      <c r="B69" s="1">
        <v>44080.542002314818</v>
      </c>
      <c r="C69" t="s">
        <v>8</v>
      </c>
      <c r="D69" s="2">
        <f t="shared" si="2"/>
        <v>6.5752314818382729E-2</v>
      </c>
      <c r="E69" s="3">
        <f t="shared" si="3"/>
        <v>1.5780555556411855</v>
      </c>
    </row>
    <row r="70" spans="1:5" x14ac:dyDescent="0.2">
      <c r="A70" s="1">
        <v>44085.702893518515</v>
      </c>
      <c r="B70" s="1">
        <v>44085.732673611114</v>
      </c>
      <c r="C70" t="s">
        <v>19</v>
      </c>
      <c r="D70" s="2">
        <f t="shared" si="2"/>
        <v>2.9780092598230112E-2</v>
      </c>
      <c r="E70" s="3">
        <f t="shared" si="3"/>
        <v>0.7147222223575227</v>
      </c>
    </row>
    <row r="71" spans="1:5" x14ac:dyDescent="0.2">
      <c r="A71" s="1">
        <v>44087.772905092592</v>
      </c>
      <c r="B71" s="1">
        <v>44087.804872685185</v>
      </c>
      <c r="C71" t="s">
        <v>19</v>
      </c>
      <c r="D71" s="2">
        <f t="shared" si="2"/>
        <v>3.1967592592991423E-2</v>
      </c>
      <c r="E71" s="3">
        <f t="shared" si="3"/>
        <v>0.76722222223179415</v>
      </c>
    </row>
    <row r="72" spans="1:5" x14ac:dyDescent="0.2">
      <c r="A72" s="1">
        <v>44093.667187500003</v>
      </c>
      <c r="B72" s="1">
        <v>44093.797349537039</v>
      </c>
      <c r="C72" t="s">
        <v>17</v>
      </c>
      <c r="D72" s="2">
        <f t="shared" si="2"/>
        <v>0.130162037035916</v>
      </c>
      <c r="E72" s="3">
        <f t="shared" si="3"/>
        <v>3.123888888861984</v>
      </c>
    </row>
    <row r="73" spans="1:5" x14ac:dyDescent="0.2">
      <c r="A73" s="1">
        <v>44094.451226851852</v>
      </c>
      <c r="B73" s="1">
        <v>44094.509733796294</v>
      </c>
      <c r="C73" t="s">
        <v>17</v>
      </c>
      <c r="D73" s="2">
        <f t="shared" si="2"/>
        <v>5.8506944442342501E-2</v>
      </c>
      <c r="E73" s="3">
        <f t="shared" si="3"/>
        <v>1.40416666661622</v>
      </c>
    </row>
    <row r="74" spans="1:5" x14ac:dyDescent="0.2">
      <c r="A74" s="1">
        <v>44094.532465277778</v>
      </c>
      <c r="B74" s="1">
        <v>44094.619386574072</v>
      </c>
      <c r="C74" t="s">
        <v>18</v>
      </c>
      <c r="D74" s="2">
        <f t="shared" si="2"/>
        <v>8.6921296293439809E-2</v>
      </c>
      <c r="E74" s="3">
        <f t="shared" si="3"/>
        <v>2.0861111110425554</v>
      </c>
    </row>
    <row r="75" spans="1:5" x14ac:dyDescent="0.2">
      <c r="A75" s="1">
        <v>44100.547476851854</v>
      </c>
      <c r="B75" s="1">
        <v>44100.673900462964</v>
      </c>
      <c r="C75" t="s">
        <v>18</v>
      </c>
      <c r="D75" s="2">
        <f t="shared" si="2"/>
        <v>0.12642361110920319</v>
      </c>
      <c r="E75" s="3">
        <f t="shared" si="3"/>
        <v>3.0341666666208766</v>
      </c>
    </row>
    <row r="76" spans="1:5" x14ac:dyDescent="0.2">
      <c r="A76" s="1">
        <v>44100.802442129629</v>
      </c>
      <c r="B76" s="1">
        <v>44100.837523148148</v>
      </c>
      <c r="C76" t="s">
        <v>18</v>
      </c>
      <c r="D76" s="2">
        <f t="shared" si="2"/>
        <v>3.5081018519122154E-2</v>
      </c>
      <c r="E76" s="3">
        <f t="shared" si="3"/>
        <v>0.84194444445893168</v>
      </c>
    </row>
    <row r="77" spans="1:5" x14ac:dyDescent="0.2">
      <c r="A77" s="1">
        <v>44102.696516203701</v>
      </c>
      <c r="B77" s="1">
        <v>44102.740277777775</v>
      </c>
      <c r="C77" t="s">
        <v>20</v>
      </c>
      <c r="D77" s="2">
        <f t="shared" si="2"/>
        <v>4.3761574073869269E-2</v>
      </c>
      <c r="E77" s="3">
        <f t="shared" si="3"/>
        <v>1.0502777777728625</v>
      </c>
    </row>
    <row r="78" spans="1:5" x14ac:dyDescent="0.2">
      <c r="A78" s="1">
        <v>44116.806817129633</v>
      </c>
      <c r="B78" s="1">
        <v>44116.89570601852</v>
      </c>
      <c r="C78" t="s">
        <v>21</v>
      </c>
      <c r="D78" s="2">
        <f t="shared" si="2"/>
        <v>8.8888888887595385E-2</v>
      </c>
      <c r="E78" s="3">
        <f t="shared" si="3"/>
        <v>2.1333333333022892</v>
      </c>
    </row>
    <row r="79" spans="1:5" x14ac:dyDescent="0.2">
      <c r="A79" s="1">
        <v>44117.791909722226</v>
      </c>
      <c r="B79" s="1">
        <v>44117.883240740739</v>
      </c>
      <c r="C79" t="s">
        <v>18</v>
      </c>
      <c r="D79" s="2">
        <f t="shared" si="2"/>
        <v>9.1331018513301387E-2</v>
      </c>
      <c r="E79" s="3">
        <f t="shared" si="3"/>
        <v>2.1919444443192333</v>
      </c>
    </row>
    <row r="80" spans="1:5" x14ac:dyDescent="0.2">
      <c r="A80" s="1">
        <v>44119.706053240741</v>
      </c>
      <c r="B80" s="1">
        <v>44119.745462962965</v>
      </c>
      <c r="C80" t="s">
        <v>18</v>
      </c>
      <c r="D80" s="2">
        <f t="shared" si="2"/>
        <v>3.9409722223354038E-2</v>
      </c>
      <c r="E80" s="3">
        <f t="shared" si="3"/>
        <v>0.94583333336049691</v>
      </c>
    </row>
    <row r="81" spans="1:5" x14ac:dyDescent="0.2">
      <c r="A81" s="1">
        <v>44119.78601851852</v>
      </c>
      <c r="B81" s="1">
        <v>44119.830057870371</v>
      </c>
      <c r="C81" t="s">
        <v>18</v>
      </c>
      <c r="D81" s="2">
        <f t="shared" si="2"/>
        <v>4.4039351851097308E-2</v>
      </c>
      <c r="E81" s="3">
        <f t="shared" si="3"/>
        <v>1.0569444444263354</v>
      </c>
    </row>
    <row r="82" spans="1:5" x14ac:dyDescent="0.2">
      <c r="A82" s="1">
        <v>44120.480983796297</v>
      </c>
      <c r="B82" s="1">
        <v>44120.509201388886</v>
      </c>
      <c r="C82" t="s">
        <v>19</v>
      </c>
      <c r="D82" s="2">
        <f t="shared" si="2"/>
        <v>2.8217592589498963E-2</v>
      </c>
      <c r="E82" s="3">
        <f t="shared" si="3"/>
        <v>0.67722222214797512</v>
      </c>
    </row>
    <row r="83" spans="1:5" x14ac:dyDescent="0.2">
      <c r="A83" s="1">
        <v>44121.568240740744</v>
      </c>
      <c r="B83" s="1">
        <v>44121.613518518519</v>
      </c>
      <c r="C83" t="s">
        <v>19</v>
      </c>
      <c r="D83" s="2">
        <f t="shared" si="2"/>
        <v>4.5277777775481809E-2</v>
      </c>
      <c r="E83" s="3">
        <f t="shared" si="3"/>
        <v>1.0866666666115634</v>
      </c>
    </row>
    <row r="84" spans="1:5" x14ac:dyDescent="0.2">
      <c r="A84" s="1">
        <v>44121.638773148145</v>
      </c>
      <c r="B84" s="1">
        <v>44121.760324074072</v>
      </c>
      <c r="C84" t="s">
        <v>19</v>
      </c>
      <c r="D84" s="2">
        <f t="shared" si="2"/>
        <v>0.12155092592729488</v>
      </c>
      <c r="E84" s="3">
        <f t="shared" si="3"/>
        <v>2.9172222222550772</v>
      </c>
    </row>
    <row r="85" spans="1:5" x14ac:dyDescent="0.2">
      <c r="A85" s="1">
        <v>44122.538576388892</v>
      </c>
      <c r="B85" s="1">
        <v>44122.689687500002</v>
      </c>
      <c r="C85" t="s">
        <v>19</v>
      </c>
      <c r="D85" s="2">
        <f t="shared" si="2"/>
        <v>0.15111111111036735</v>
      </c>
      <c r="E85" s="3">
        <f t="shared" si="3"/>
        <v>3.6266666666488163</v>
      </c>
    </row>
    <row r="86" spans="1:5" x14ac:dyDescent="0.2">
      <c r="A86" s="1">
        <v>44122.789317129631</v>
      </c>
      <c r="B86" s="1">
        <v>44122.835451388892</v>
      </c>
      <c r="C86" t="s">
        <v>19</v>
      </c>
      <c r="D86" s="2">
        <f t="shared" ref="D86:D130" si="4">B86-A86</f>
        <v>4.613425926072523E-2</v>
      </c>
      <c r="E86" s="3">
        <f t="shared" ref="E86:E130" si="5">D86*24</f>
        <v>1.1072222222574055</v>
      </c>
    </row>
    <row r="87" spans="1:5" x14ac:dyDescent="0.2">
      <c r="A87" s="1">
        <v>44123.362083333333</v>
      </c>
      <c r="B87" s="1">
        <v>44123.429212962961</v>
      </c>
      <c r="C87" t="s">
        <v>22</v>
      </c>
      <c r="D87" s="2">
        <f t="shared" si="4"/>
        <v>6.712962962774327E-2</v>
      </c>
      <c r="E87" s="3">
        <f t="shared" si="5"/>
        <v>1.6111111110658385</v>
      </c>
    </row>
    <row r="88" spans="1:5" x14ac:dyDescent="0.2">
      <c r="D88" s="2">
        <f t="shared" si="4"/>
        <v>0</v>
      </c>
      <c r="E88" s="3">
        <f t="shared" si="5"/>
        <v>0</v>
      </c>
    </row>
    <row r="89" spans="1:5" x14ac:dyDescent="0.2">
      <c r="D89" s="2">
        <f t="shared" si="4"/>
        <v>0</v>
      </c>
      <c r="E89" s="3">
        <f t="shared" si="5"/>
        <v>0</v>
      </c>
    </row>
    <row r="90" spans="1:5" x14ac:dyDescent="0.2">
      <c r="D90" s="2">
        <f t="shared" si="4"/>
        <v>0</v>
      </c>
      <c r="E90" s="3">
        <f t="shared" si="5"/>
        <v>0</v>
      </c>
    </row>
    <row r="91" spans="1:5" x14ac:dyDescent="0.2">
      <c r="D91" s="2">
        <f t="shared" si="4"/>
        <v>0</v>
      </c>
      <c r="E91" s="3">
        <f t="shared" si="5"/>
        <v>0</v>
      </c>
    </row>
    <row r="92" spans="1:5" x14ac:dyDescent="0.2">
      <c r="D92" s="2">
        <f t="shared" si="4"/>
        <v>0</v>
      </c>
      <c r="E92" s="3">
        <f t="shared" si="5"/>
        <v>0</v>
      </c>
    </row>
    <row r="93" spans="1:5" x14ac:dyDescent="0.2">
      <c r="D93" s="2">
        <f t="shared" si="4"/>
        <v>0</v>
      </c>
      <c r="E93" s="3">
        <f t="shared" si="5"/>
        <v>0</v>
      </c>
    </row>
    <row r="94" spans="1:5" x14ac:dyDescent="0.2">
      <c r="D94" s="2">
        <f t="shared" si="4"/>
        <v>0</v>
      </c>
      <c r="E94" s="3">
        <f t="shared" si="5"/>
        <v>0</v>
      </c>
    </row>
    <row r="95" spans="1:5" x14ac:dyDescent="0.2">
      <c r="D95" s="2">
        <f t="shared" si="4"/>
        <v>0</v>
      </c>
      <c r="E95" s="3">
        <f t="shared" si="5"/>
        <v>0</v>
      </c>
    </row>
    <row r="96" spans="1:5" x14ac:dyDescent="0.2">
      <c r="D96" s="2">
        <f t="shared" si="4"/>
        <v>0</v>
      </c>
      <c r="E96" s="3">
        <f t="shared" si="5"/>
        <v>0</v>
      </c>
    </row>
    <row r="97" spans="4:5" x14ac:dyDescent="0.2">
      <c r="D97" s="2">
        <f t="shared" si="4"/>
        <v>0</v>
      </c>
      <c r="E97" s="3">
        <f t="shared" si="5"/>
        <v>0</v>
      </c>
    </row>
    <row r="98" spans="4:5" x14ac:dyDescent="0.2">
      <c r="D98" s="2">
        <f t="shared" si="4"/>
        <v>0</v>
      </c>
      <c r="E98" s="3">
        <f t="shared" si="5"/>
        <v>0</v>
      </c>
    </row>
    <row r="99" spans="4:5" x14ac:dyDescent="0.2">
      <c r="D99" s="2">
        <f t="shared" si="4"/>
        <v>0</v>
      </c>
      <c r="E99" s="3">
        <f t="shared" si="5"/>
        <v>0</v>
      </c>
    </row>
    <row r="100" spans="4:5" x14ac:dyDescent="0.2">
      <c r="D100" s="2">
        <f t="shared" si="4"/>
        <v>0</v>
      </c>
      <c r="E100" s="3">
        <f t="shared" si="5"/>
        <v>0</v>
      </c>
    </row>
    <row r="101" spans="4:5" x14ac:dyDescent="0.2">
      <c r="D101" s="2">
        <f t="shared" si="4"/>
        <v>0</v>
      </c>
      <c r="E101" s="3">
        <f t="shared" si="5"/>
        <v>0</v>
      </c>
    </row>
    <row r="102" spans="4:5" x14ac:dyDescent="0.2">
      <c r="D102" s="2">
        <f t="shared" si="4"/>
        <v>0</v>
      </c>
      <c r="E102" s="3">
        <f t="shared" si="5"/>
        <v>0</v>
      </c>
    </row>
    <row r="103" spans="4:5" x14ac:dyDescent="0.2">
      <c r="D103" s="2">
        <f t="shared" si="4"/>
        <v>0</v>
      </c>
      <c r="E103" s="3">
        <f t="shared" si="5"/>
        <v>0</v>
      </c>
    </row>
    <row r="104" spans="4:5" x14ac:dyDescent="0.2">
      <c r="D104" s="2">
        <f t="shared" si="4"/>
        <v>0</v>
      </c>
      <c r="E104" s="3">
        <f t="shared" si="5"/>
        <v>0</v>
      </c>
    </row>
    <row r="105" spans="4:5" x14ac:dyDescent="0.2">
      <c r="D105" s="2">
        <f t="shared" si="4"/>
        <v>0</v>
      </c>
      <c r="E105" s="3">
        <f t="shared" si="5"/>
        <v>0</v>
      </c>
    </row>
    <row r="106" spans="4:5" x14ac:dyDescent="0.2">
      <c r="D106" s="2">
        <f t="shared" si="4"/>
        <v>0</v>
      </c>
      <c r="E106" s="3">
        <f t="shared" si="5"/>
        <v>0</v>
      </c>
    </row>
    <row r="107" spans="4:5" x14ac:dyDescent="0.2">
      <c r="D107" s="2">
        <f t="shared" si="4"/>
        <v>0</v>
      </c>
      <c r="E107" s="3">
        <f t="shared" si="5"/>
        <v>0</v>
      </c>
    </row>
    <row r="108" spans="4:5" x14ac:dyDescent="0.2">
      <c r="D108" s="2">
        <f t="shared" si="4"/>
        <v>0</v>
      </c>
      <c r="E108" s="3">
        <f t="shared" si="5"/>
        <v>0</v>
      </c>
    </row>
    <row r="109" spans="4:5" x14ac:dyDescent="0.2">
      <c r="D109" s="2">
        <f t="shared" si="4"/>
        <v>0</v>
      </c>
      <c r="E109" s="3">
        <f t="shared" si="5"/>
        <v>0</v>
      </c>
    </row>
    <row r="110" spans="4:5" x14ac:dyDescent="0.2">
      <c r="D110" s="2">
        <f t="shared" si="4"/>
        <v>0</v>
      </c>
      <c r="E110" s="3">
        <f t="shared" si="5"/>
        <v>0</v>
      </c>
    </row>
    <row r="111" spans="4:5" x14ac:dyDescent="0.2">
      <c r="D111" s="2">
        <f t="shared" si="4"/>
        <v>0</v>
      </c>
      <c r="E111" s="3">
        <f t="shared" si="5"/>
        <v>0</v>
      </c>
    </row>
    <row r="112" spans="4:5" x14ac:dyDescent="0.2">
      <c r="D112" s="2">
        <f t="shared" si="4"/>
        <v>0</v>
      </c>
      <c r="E112" s="3">
        <f t="shared" si="5"/>
        <v>0</v>
      </c>
    </row>
    <row r="113" spans="4:5" x14ac:dyDescent="0.2">
      <c r="D113" s="2">
        <f t="shared" si="4"/>
        <v>0</v>
      </c>
      <c r="E113" s="3">
        <f t="shared" si="5"/>
        <v>0</v>
      </c>
    </row>
    <row r="114" spans="4:5" x14ac:dyDescent="0.2">
      <c r="D114" s="2">
        <f t="shared" si="4"/>
        <v>0</v>
      </c>
      <c r="E114" s="3">
        <f t="shared" si="5"/>
        <v>0</v>
      </c>
    </row>
    <row r="115" spans="4:5" x14ac:dyDescent="0.2">
      <c r="D115" s="2">
        <f t="shared" si="4"/>
        <v>0</v>
      </c>
      <c r="E115" s="3">
        <f t="shared" si="5"/>
        <v>0</v>
      </c>
    </row>
    <row r="116" spans="4:5" x14ac:dyDescent="0.2">
      <c r="D116" s="2">
        <f t="shared" si="4"/>
        <v>0</v>
      </c>
      <c r="E116" s="3">
        <f t="shared" si="5"/>
        <v>0</v>
      </c>
    </row>
    <row r="117" spans="4:5" x14ac:dyDescent="0.2">
      <c r="D117" s="2">
        <f t="shared" si="4"/>
        <v>0</v>
      </c>
      <c r="E117" s="3">
        <f t="shared" si="5"/>
        <v>0</v>
      </c>
    </row>
    <row r="118" spans="4:5" x14ac:dyDescent="0.2">
      <c r="D118" s="2">
        <f t="shared" si="4"/>
        <v>0</v>
      </c>
      <c r="E118" s="3">
        <f t="shared" si="5"/>
        <v>0</v>
      </c>
    </row>
    <row r="119" spans="4:5" x14ac:dyDescent="0.2">
      <c r="D119" s="2">
        <f t="shared" si="4"/>
        <v>0</v>
      </c>
      <c r="E119" s="3">
        <f t="shared" si="5"/>
        <v>0</v>
      </c>
    </row>
    <row r="120" spans="4:5" x14ac:dyDescent="0.2">
      <c r="D120" s="2">
        <f t="shared" si="4"/>
        <v>0</v>
      </c>
      <c r="E120" s="3">
        <f t="shared" si="5"/>
        <v>0</v>
      </c>
    </row>
    <row r="121" spans="4:5" x14ac:dyDescent="0.2">
      <c r="D121" s="2">
        <f t="shared" si="4"/>
        <v>0</v>
      </c>
      <c r="E121" s="3">
        <f t="shared" si="5"/>
        <v>0</v>
      </c>
    </row>
    <row r="122" spans="4:5" x14ac:dyDescent="0.2">
      <c r="D122" s="2">
        <f t="shared" si="4"/>
        <v>0</v>
      </c>
      <c r="E122" s="3">
        <f t="shared" si="5"/>
        <v>0</v>
      </c>
    </row>
    <row r="123" spans="4:5" x14ac:dyDescent="0.2">
      <c r="D123" s="2">
        <f t="shared" si="4"/>
        <v>0</v>
      </c>
      <c r="E123" s="3">
        <f t="shared" si="5"/>
        <v>0</v>
      </c>
    </row>
    <row r="124" spans="4:5" x14ac:dyDescent="0.2">
      <c r="D124" s="2">
        <f t="shared" si="4"/>
        <v>0</v>
      </c>
      <c r="E124" s="3">
        <f t="shared" si="5"/>
        <v>0</v>
      </c>
    </row>
    <row r="125" spans="4:5" x14ac:dyDescent="0.2">
      <c r="D125" s="2">
        <f t="shared" si="4"/>
        <v>0</v>
      </c>
      <c r="E125" s="3">
        <f t="shared" si="5"/>
        <v>0</v>
      </c>
    </row>
    <row r="126" spans="4:5" x14ac:dyDescent="0.2">
      <c r="D126" s="2">
        <f t="shared" si="4"/>
        <v>0</v>
      </c>
      <c r="E126" s="3">
        <f t="shared" si="5"/>
        <v>0</v>
      </c>
    </row>
    <row r="127" spans="4:5" x14ac:dyDescent="0.2">
      <c r="D127" s="2">
        <f t="shared" si="4"/>
        <v>0</v>
      </c>
      <c r="E127" s="3">
        <f t="shared" si="5"/>
        <v>0</v>
      </c>
    </row>
    <row r="128" spans="4:5" x14ac:dyDescent="0.2">
      <c r="D128" s="2">
        <f t="shared" si="4"/>
        <v>0</v>
      </c>
      <c r="E128" s="3">
        <f t="shared" si="5"/>
        <v>0</v>
      </c>
    </row>
    <row r="129" spans="4:5" x14ac:dyDescent="0.2">
      <c r="D129" s="2">
        <f t="shared" si="4"/>
        <v>0</v>
      </c>
      <c r="E129" s="3">
        <f t="shared" si="5"/>
        <v>0</v>
      </c>
    </row>
    <row r="130" spans="4:5" x14ac:dyDescent="0.2">
      <c r="D130" s="2">
        <f t="shared" si="4"/>
        <v>0</v>
      </c>
      <c r="E130" s="3">
        <f t="shared" si="5"/>
        <v>0</v>
      </c>
    </row>
  </sheetData>
  <autoFilter ref="A3:E102" xr:uid="{21846387-BE89-ED43-99BF-CF06E90ECC18}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lock_in">
                <anchor moveWithCells="1" sizeWithCells="1">
                  <from>
                    <xdr:col>0</xdr:col>
                    <xdr:colOff>228600</xdr:colOff>
                    <xdr:row>0</xdr:row>
                    <xdr:rowOff>12700</xdr:rowOff>
                  </from>
                  <to>
                    <xdr:col>0</xdr:col>
                    <xdr:colOff>1511300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lock_out">
                <anchor moveWithCells="1" sizeWithCells="1">
                  <from>
                    <xdr:col>1</xdr:col>
                    <xdr:colOff>254000</xdr:colOff>
                    <xdr:row>0</xdr:row>
                    <xdr:rowOff>12700</xdr:rowOff>
                  </from>
                  <to>
                    <xdr:col>1</xdr:col>
                    <xdr:colOff>1524000</xdr:colOff>
                    <xdr:row>1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 W. Roden-Foreman</dc:creator>
  <cp:lastModifiedBy>Jacob W. Roden-Foreman</cp:lastModifiedBy>
  <dcterms:created xsi:type="dcterms:W3CDTF">2020-03-27T02:34:33Z</dcterms:created>
  <dcterms:modified xsi:type="dcterms:W3CDTF">2020-10-19T15:18:18Z</dcterms:modified>
</cp:coreProperties>
</file>