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148145FD-9C55-3A4E-ACFA-83C53E92C0E5}" xr6:coauthVersionLast="46" xr6:coauthVersionMax="46" xr10:uidLastSave="{00000000-0000-0000-0000-000000000000}"/>
  <bookViews>
    <workbookView xWindow="0" yWindow="460" windowWidth="33600" windowHeight="19780" xr2:uid="{8D39E47A-B475-5846-B26E-B62C0DA3014B}"/>
  </bookViews>
  <sheets>
    <sheet name="Sheet1" sheetId="1" r:id="rId1"/>
    <sheet name="Sheet2" sheetId="2" r:id="rId2"/>
  </sheets>
  <definedNames>
    <definedName name="_xlnm._FilterDatabase" localSheetId="0" hidden="1">Sheet1!$A$3:$E$102</definedName>
  </definedNames>
  <calcPr calcId="191029"/>
  <pivotCaches>
    <pivotCache cacheId="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1" i="1" l="1"/>
  <c r="E111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F1" i="1" l="1"/>
  <c r="I1" i="1" s="1"/>
  <c r="J1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G1" i="1" l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<sst xmlns="http://schemas.openxmlformats.org/spreadsheetml/2006/main" count="126" uniqueCount="36">
  <si>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</si>
  <si>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</si>
  <si>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</si>
  <si>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</si>
  <si>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</si>
  <si>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</si>
  <si>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</si>
  <si>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</si>
  <si>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</si>
  <si>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</si>
  <si>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</si>
  <si>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</si>
  <si>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</si>
  <si>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</si>
  <si>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</si>
  <si>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</si>
  <si>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</si>
  <si>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</si>
  <si>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</si>
  <si>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</si>
  <si>
    <t>Phone call</t>
  </si>
  <si>
    <t>Update to use ecodes instead of pre-dot ecode groups</t>
  </si>
  <si>
    <t>5-mortality-model.Rmd; 6-charges-model.Rmd</t>
  </si>
  <si>
    <t>7-methods-and-results.Rmd</t>
  </si>
  <si>
    <t>Row Labels</t>
  </si>
  <si>
    <t>Grand Total</t>
  </si>
  <si>
    <t>Sum of Hours</t>
  </si>
  <si>
    <t>Hours worked</t>
  </si>
  <si>
    <t>Invoice</t>
  </si>
  <si>
    <t>Responding to emails.</t>
  </si>
  <si>
    <t>Meeting to discuss manuscript</t>
  </si>
  <si>
    <t>Ecode groups</t>
  </si>
  <si>
    <t>Updating analyses</t>
  </si>
  <si>
    <t>Power analysis</t>
  </si>
  <si>
    <t>Emailing about new groups, modeling</t>
  </si>
  <si>
    <t>Finish updating descriptives. Start figures.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</si>
</sst>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1">
    <dxf>
      <numFmt numFmtId="165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ake Roden-Foreman" refreshedDate="44240.664474652775" missingItemsLimit="0" createdVersion="6" refreshedVersion="6" minRefreshableVersion="3" recordCount="127" xr:uid="{034CB4BD-39AC-8541-AB9D-A049A061FAC5}">
  <cacheSource type="worksheet">
    <worksheetSource ref="A3:F130" sheet="Sheet1"/>
  </cacheSource>
  <cacheFields count="6">
    <cacheField name="Start" numFmtId="0">
      <sharedItems containsDate="1" containsBlank="1" containsMixedTypes="1" minDate="2020-03-27T13:58:09" maxDate="2021-02-13T14:46:02"/>
    </cacheField>
    <cacheField name="End" numFmtId="0">
      <sharedItems containsDate="1" containsBlank="1" containsMixedTypes="1" minDate="2020-03-27T16:44:36" maxDate="2021-02-10T20:24:03"/>
    </cacheField>
    <cacheField name="Description/file" numFmtId="0">
      <sharedItems containsBlank="1" count="23">
        <s v="1 Transfer and consolidate NEDS data.R"/>
        <s v="2 convert to database.R"/>
        <s v="3 join files.R"/>
        <s v="TMPM calculations &amp; optimizing"/>
        <s v="4 analysis.Rmd"/>
        <s v="Recreating database with PostgreSQL"/>
        <s v="2 convert to database.R; adding comorbidity scores"/>
        <s v="3 join files.R, 4 analysis.Rmd"/>
        <s v="4 analysis.Rmd; icd9_to_Barell.R"/>
        <s v="4 analysis.Rmd; results tables"/>
        <s v="5-mortality-model.Rmd"/>
        <s v="6-charges-model.Rmd"/>
        <s v="Phone call"/>
        <s v="Update to use ecodes instead of pre-dot ecode groups"/>
        <s v="5-mortality-model.Rmd; 6-charges-model.Rmd"/>
        <s v="7-methods-and-results.Rmd"/>
        <s v="Responding to emails."/>
        <s v="Meeting to discuss manuscript"/>
        <s v="Ecode groups"/>
        <s v="Updating analyses"/>
        <s v="Power analysis"/>
        <s v="Emailing about new groups, modeling"/>
        <m/>
      </sharedItems>
    </cacheField>
    <cacheField name="Duration" numFmtId="164">
      <sharedItems containsSemiMixedTypes="0" containsDate="1" containsString="0" containsMixedTypes="1" minDate="1900-01-06T13:52:12" maxDate="1899-12-30T10:00:00"/>
    </cacheField>
    <cacheField name="Hours" numFmtId="2">
      <sharedItems containsSemiMixedTypes="0" containsString="0" containsNumber="1" minValue="-1061774.7672222224" maxValue="10"/>
    </cacheField>
    <cacheField name="Invoice" numFmtId="0">
      <sharedItems containsString="0" containsBlank="1" containsNumber="1" containsInteger="1" minValue="1" maxValue="6" count="7">
        <n v="1"/>
        <n v="2"/>
        <n v="3"/>
        <n v="4"/>
        <n v="5"/>
        <n v="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">
  <r>
    <d v="2020-03-27T13:58:09"/>
    <d v="2020-03-27T16:44:36"/>
    <x v="0"/>
    <d v="1899-12-30T02:46:27"/>
    <n v="2.7741666666115634"/>
    <x v="0"/>
  </r>
  <r>
    <d v="2020-03-28T17:08:10"/>
    <d v="2020-03-28T17:29:13"/>
    <x v="0"/>
    <d v="1899-12-30T00:21:03"/>
    <n v="0.35083333344664425"/>
    <x v="0"/>
  </r>
  <r>
    <d v="2020-03-29T13:05:40"/>
    <d v="2020-03-29T14:40:50"/>
    <x v="0"/>
    <d v="1899-12-30T01:35:10"/>
    <n v="1.5861111111589707"/>
    <x v="0"/>
  </r>
  <r>
    <d v="2020-03-30T06:44:06"/>
    <d v="2020-03-30T08:11:55"/>
    <x v="0"/>
    <d v="1899-12-30T01:27:49"/>
    <n v="1.463611111161299"/>
    <x v="0"/>
  </r>
  <r>
    <d v="2020-03-30T13:24:20"/>
    <d v="2020-03-30T14:53:38"/>
    <x v="0"/>
    <d v="1899-12-30T01:29:18"/>
    <n v="1.4883333334000781"/>
    <x v="0"/>
  </r>
  <r>
    <d v="2020-03-30T16:44:01"/>
    <d v="2020-03-30T18:27:46"/>
    <x v="0"/>
    <d v="1899-12-30T01:43:45"/>
    <n v="1.7291666666278616"/>
    <x v="0"/>
  </r>
  <r>
    <d v="2020-03-31T07:09:27"/>
    <d v="2020-03-31T09:00:07"/>
    <x v="0"/>
    <d v="1899-12-30T01:50:40"/>
    <n v="1.84444444446126"/>
    <x v="0"/>
  </r>
  <r>
    <d v="2020-03-31T10:08:40"/>
    <d v="2020-03-31T11:10:45"/>
    <x v="0"/>
    <d v="1899-12-30T01:02:05"/>
    <n v="1.0347222222480923"/>
    <x v="0"/>
  </r>
  <r>
    <d v="2020-03-31T11:25:30"/>
    <d v="2020-03-31T12:14:27"/>
    <x v="0"/>
    <d v="1899-12-30T00:48:57"/>
    <n v="0.8158333333558403"/>
    <x v="0"/>
  </r>
  <r>
    <d v="2020-03-31T12:49:21"/>
    <d v="2020-03-31T17:22:23"/>
    <x v="0"/>
    <d v="1899-12-30T04:33:02"/>
    <n v="4.5505555554991588"/>
    <x v="0"/>
  </r>
  <r>
    <d v="2020-04-01T09:09:58"/>
    <d v="2020-04-01T09:34:07"/>
    <x v="0"/>
    <d v="1899-12-30T00:24:09"/>
    <n v="0.40249999996740371"/>
    <x v="0"/>
  </r>
  <r>
    <d v="2020-04-06T06:21:52"/>
    <d v="2020-04-06T09:05:01"/>
    <x v="0"/>
    <d v="1899-12-30T02:43:09"/>
    <n v="2.719166666676756"/>
    <x v="0"/>
  </r>
  <r>
    <d v="2020-04-07T07:46:06"/>
    <d v="2020-04-07T08:39:23"/>
    <x v="0"/>
    <d v="1899-12-30T00:53:17"/>
    <n v="0.88805555552244186"/>
    <x v="0"/>
  </r>
  <r>
    <d v="2020-04-07T08:54:46"/>
    <d v="2020-04-07T10:34:53"/>
    <x v="0"/>
    <d v="1899-12-30T01:40:07"/>
    <n v="1.6686111110611819"/>
    <x v="0"/>
  </r>
  <r>
    <d v="2020-04-07T11:42:36"/>
    <d v="2020-04-07T18:30:14"/>
    <x v="1"/>
    <d v="1899-12-30T06:47:38"/>
    <n v="6.7938888888456859"/>
    <x v="0"/>
  </r>
  <r>
    <d v="2020-04-08T07:33:13"/>
    <d v="2020-04-08T08:28:02"/>
    <x v="1"/>
    <d v="1899-12-30T00:54:49"/>
    <n v="0.91361111111473292"/>
    <x v="0"/>
  </r>
  <r>
    <d v="2020-04-08T20:16:19"/>
    <d v="2020-04-08T20:49:18"/>
    <x v="1"/>
    <d v="1899-12-30T00:32:59"/>
    <n v="0.54972222220385447"/>
    <x v="0"/>
  </r>
  <r>
    <d v="2020-04-09T08:17:41"/>
    <d v="2020-04-09T09:38:17"/>
    <x v="1"/>
    <d v="1899-12-30T01:20:36"/>
    <n v="1.3433333333814517"/>
    <x v="0"/>
  </r>
  <r>
    <d v="2020-04-10T12:44:21"/>
    <d v="2020-04-10T13:00:45"/>
    <x v="1"/>
    <d v="1899-12-30T00:16:24"/>
    <n v="0.27333333331625909"/>
    <x v="0"/>
  </r>
  <r>
    <d v="2020-04-10T13:17:57"/>
    <d v="2020-04-10T14:26:26"/>
    <x v="1"/>
    <d v="1899-12-30T01:08:29"/>
    <n v="1.1413888888782822"/>
    <x v="0"/>
  </r>
  <r>
    <d v="2020-04-10T15:49:02"/>
    <d v="2020-04-10T17:18:26"/>
    <x v="1"/>
    <d v="1899-12-30T01:29:24"/>
    <n v="1.4899999999324791"/>
    <x v="0"/>
  </r>
  <r>
    <d v="2020-04-14T08:06:17"/>
    <d v="2020-04-14T10:47:29"/>
    <x v="1"/>
    <d v="1899-12-30T02:41:12"/>
    <n v="2.6866666667629033"/>
    <x v="0"/>
  </r>
  <r>
    <d v="2020-04-14T15:01:03"/>
    <d v="2020-04-14T18:43:35"/>
    <x v="1"/>
    <d v="1899-12-30T03:42:32"/>
    <n v="3.7088888888829388"/>
    <x v="0"/>
  </r>
  <r>
    <d v="2020-04-15T06:39:13"/>
    <d v="2020-04-15T06:49:06"/>
    <x v="1"/>
    <d v="1899-12-30T00:09:53"/>
    <n v="0.16472222231095657"/>
    <x v="0"/>
  </r>
  <r>
    <d v="2020-04-15T08:01:00"/>
    <d v="2020-04-15T08:40:58"/>
    <x v="1"/>
    <d v="1899-12-30T00:39:58"/>
    <n v="0.66611111123347655"/>
    <x v="0"/>
  </r>
  <r>
    <d v="2020-04-15T15:23:22"/>
    <d v="2020-04-15T17:19:32"/>
    <x v="1"/>
    <d v="1899-12-30T01:56:10"/>
    <n v="1.93611111107748"/>
    <x v="0"/>
  </r>
  <r>
    <d v="2020-04-17T14:38:42"/>
    <d v="2020-04-17T16:09:30"/>
    <x v="1"/>
    <d v="1899-12-30T01:30:48"/>
    <n v="1.5133333333069459"/>
    <x v="0"/>
  </r>
  <r>
    <d v="2020-04-17T16:10:36"/>
    <d v="2020-04-17T17:17:22"/>
    <x v="2"/>
    <d v="1899-12-30T01:06:46"/>
    <n v="1.1127777777146548"/>
    <x v="0"/>
  </r>
  <r>
    <d v="2020-04-20T16:37:06"/>
    <d v="2020-04-20T18:45:18"/>
    <x v="3"/>
    <d v="1899-12-30T02:08:12"/>
    <n v="2.1366666665417142"/>
    <x v="0"/>
  </r>
  <r>
    <d v="2020-04-21T06:34:09"/>
    <d v="2020-04-21T08:45:34"/>
    <x v="3"/>
    <d v="1899-12-30T02:11:25"/>
    <n v="2.1902777777868323"/>
    <x v="0"/>
  </r>
  <r>
    <d v="2020-04-21T17:06:48"/>
    <d v="2020-04-21T19:02:32"/>
    <x v="3"/>
    <d v="1899-12-30T01:55:44"/>
    <n v="1.9288888889132068"/>
    <x v="0"/>
  </r>
  <r>
    <d v="2020-04-24T08:15:54"/>
    <d v="2020-04-24T09:33:28"/>
    <x v="3"/>
    <d v="1899-12-30T01:17:34"/>
    <n v="1.2927777777076699"/>
    <x v="0"/>
  </r>
  <r>
    <d v="2020-04-24T10:45:38"/>
    <d v="2020-04-24T13:31:15"/>
    <x v="3"/>
    <d v="1899-12-30T02:45:37"/>
    <n v="2.7602777777938172"/>
    <x v="0"/>
  </r>
  <r>
    <d v="2020-04-28T19:22:38"/>
    <d v="2020-04-28T19:48:30"/>
    <x v="2"/>
    <d v="1899-12-30T00:25:52"/>
    <n v="0.43111111113103107"/>
    <x v="0"/>
  </r>
  <r>
    <d v="2020-05-06T07:23:58"/>
    <d v="2020-05-06T10:04:52"/>
    <x v="4"/>
    <d v="1899-12-30T02:40:54"/>
    <n v="2.6816666666418314"/>
    <x v="1"/>
  </r>
  <r>
    <d v="2020-05-09T13:47:31"/>
    <d v="2020-05-09T15:26:29"/>
    <x v="4"/>
    <d v="1899-12-30T01:38:58"/>
    <n v="1.6494444444542751"/>
    <x v="1"/>
  </r>
  <r>
    <d v="2020-05-09T17:39:50"/>
    <d v="2020-05-09T19:49:40"/>
    <x v="1"/>
    <d v="1899-12-30T02:09:50"/>
    <n v="2.1638888888410293"/>
    <x v="1"/>
  </r>
  <r>
    <d v="2020-05-10T12:04:59"/>
    <d v="2020-05-10T17:57:38"/>
    <x v="1"/>
    <d v="1899-12-30T05:52:39"/>
    <n v="5.8775000000023283"/>
    <x v="1"/>
  </r>
  <r>
    <s v="May 11 to May 22 (approx. hours)"/>
    <s v="NA"/>
    <x v="5"/>
    <d v="1899-12-30T10:00:00"/>
    <n v="10"/>
    <x v="1"/>
  </r>
  <r>
    <d v="2020-05-22T07:26:44"/>
    <d v="2020-05-22T07:44:56"/>
    <x v="5"/>
    <d v="1899-12-30T00:18:12"/>
    <n v="0.30333333334419876"/>
    <x v="1"/>
  </r>
  <r>
    <d v="2020-05-22T14:12:29"/>
    <d v="2020-05-22T16:22:03"/>
    <x v="5"/>
    <d v="1899-12-30T02:09:34"/>
    <n v="2.1594444444053806"/>
    <x v="1"/>
  </r>
  <r>
    <d v="2020-05-23T13:12:54"/>
    <d v="2020-05-23T14:05:08"/>
    <x v="4"/>
    <d v="1899-12-30T00:52:14"/>
    <n v="0.87055555544793606"/>
    <x v="1"/>
  </r>
  <r>
    <d v="2020-05-23T14:34:27"/>
    <d v="2020-05-23T15:50:16"/>
    <x v="4"/>
    <d v="1899-12-30T01:15:49"/>
    <n v="1.2636111110332422"/>
    <x v="1"/>
  </r>
  <r>
    <d v="2020-05-25T07:50:47"/>
    <d v="2020-05-25T08:25:34"/>
    <x v="4"/>
    <d v="1899-12-30T00:34:47"/>
    <n v="0.57972222223179415"/>
    <x v="1"/>
  </r>
  <r>
    <d v="2020-05-29T16:18:07"/>
    <d v="2020-05-29T20:47:49"/>
    <x v="4"/>
    <d v="1899-12-30T04:29:42"/>
    <n v="4.495000000053551"/>
    <x v="1"/>
  </r>
  <r>
    <d v="2020-05-30T10:09:00"/>
    <d v="2020-05-30T11:49:51"/>
    <x v="4"/>
    <d v="1899-12-30T01:40:51"/>
    <n v="1.6808333331719041"/>
    <x v="1"/>
  </r>
  <r>
    <d v="2020-07-19T13:13:05"/>
    <d v="2020-07-19T15:17:43"/>
    <x v="0"/>
    <d v="1899-12-30T02:04:38"/>
    <n v="2.0772222223458812"/>
    <x v="2"/>
  </r>
  <r>
    <d v="2020-07-20T08:53:48"/>
    <d v="2020-07-20T09:08:40"/>
    <x v="0"/>
    <d v="1899-12-30T00:14:52"/>
    <n v="0.24777777789859101"/>
    <x v="2"/>
  </r>
  <r>
    <d v="2020-07-20T10:52:38"/>
    <d v="2020-07-20T12:48:39"/>
    <x v="0"/>
    <d v="1899-12-30T01:56:01"/>
    <n v="1.933611111191567"/>
    <x v="2"/>
  </r>
  <r>
    <d v="2020-07-24T14:35:44"/>
    <d v="2020-07-24T17:36:14"/>
    <x v="0"/>
    <d v="1899-12-30T03:00:30"/>
    <n v="3.0083333333604969"/>
    <x v="2"/>
  </r>
  <r>
    <d v="2020-07-25T11:34:03"/>
    <d v="2020-07-25T16:58:39"/>
    <x v="0"/>
    <d v="1899-12-30T05:24:36"/>
    <n v="5.4100000000325963"/>
    <x v="2"/>
  </r>
  <r>
    <d v="2020-07-26T17:50:02"/>
    <d v="2020-07-26T20:20:06"/>
    <x v="6"/>
    <d v="1899-12-30T02:30:04"/>
    <n v="2.501111111138016"/>
    <x v="2"/>
  </r>
  <r>
    <d v="2020-07-31T10:34:50"/>
    <d v="2020-07-31T12:07:16"/>
    <x v="2"/>
    <d v="1899-12-30T01:32:26"/>
    <n v="1.5405555556062609"/>
    <x v="2"/>
  </r>
  <r>
    <d v="2020-07-31T14:40:34"/>
    <d v="2020-07-31T15:26:04"/>
    <x v="7"/>
    <d v="1899-12-30T00:45:30"/>
    <n v="0.75833333318587393"/>
    <x v="2"/>
  </r>
  <r>
    <d v="2020-08-01T12:59:54"/>
    <d v="2020-08-01T13:36:09"/>
    <x v="4"/>
    <d v="1899-12-30T00:36:15"/>
    <n v="0.60416666662786156"/>
    <x v="2"/>
  </r>
  <r>
    <d v="2020-08-02T09:24:08"/>
    <d v="2020-08-02T10:04:37"/>
    <x v="4"/>
    <d v="1899-12-30T00:40:29"/>
    <n v="0.67472222208743915"/>
    <x v="2"/>
  </r>
  <r>
    <d v="2020-08-15T20:08:26"/>
    <d v="2020-08-15T21:07:02"/>
    <x v="8"/>
    <d v="1899-12-30T00:58:36"/>
    <n v="0.97666666656732559"/>
    <x v="3"/>
  </r>
  <r>
    <d v="2020-08-17T19:16:26"/>
    <d v="2020-08-17T20:29:56"/>
    <x v="4"/>
    <d v="1899-12-30T01:13:30"/>
    <n v="1.2249999999767169"/>
    <x v="3"/>
  </r>
  <r>
    <d v="2020-08-20T19:12:35"/>
    <d v="2020-08-20T20:21:02"/>
    <x v="4"/>
    <d v="1899-12-30T01:08:27"/>
    <n v="1.1408333331928588"/>
    <x v="3"/>
  </r>
  <r>
    <d v="2020-08-24T19:49:39"/>
    <d v="2020-08-24T21:36:46"/>
    <x v="4"/>
    <d v="1899-12-30T01:47:07"/>
    <n v="1.7852777777588926"/>
    <x v="3"/>
  </r>
  <r>
    <d v="2020-08-29T16:53:02"/>
    <d v="2020-08-29T18:21:28"/>
    <x v="9"/>
    <d v="1899-12-30T01:28:26"/>
    <n v="1.4738888888969086"/>
    <x v="3"/>
  </r>
  <r>
    <d v="2020-09-01T19:03:58"/>
    <d v="2020-09-01T19:47:34"/>
    <x v="7"/>
    <d v="1899-12-30T00:43:36"/>
    <n v="0.72666666662553325"/>
    <x v="3"/>
  </r>
  <r>
    <d v="2020-09-02T17:02:04"/>
    <d v="2020-09-02T17:42:05"/>
    <x v="9"/>
    <d v="1899-12-30T00:40:01"/>
    <n v="0.66694444441236556"/>
    <x v="3"/>
  </r>
  <r>
    <d v="2020-09-03T14:30:38"/>
    <d v="2020-09-03T17:34:04"/>
    <x v="10"/>
    <d v="1899-12-30T03:03:26"/>
    <n v="3.0572222223272547"/>
    <x v="3"/>
  </r>
  <r>
    <d v="2020-09-05T13:28:43"/>
    <d v="2020-09-05T15:44:26"/>
    <x v="10"/>
    <d v="1899-12-30T02:15:43"/>
    <n v="2.2619444444426335"/>
    <x v="3"/>
  </r>
  <r>
    <d v="2020-09-06T11:25:48"/>
    <d v="2020-09-06T13:00:29"/>
    <x v="2"/>
    <d v="1899-12-30T01:34:41"/>
    <n v="1.5780555556411855"/>
    <x v="3"/>
  </r>
  <r>
    <d v="2020-09-11T16:52:10"/>
    <d v="2020-09-11T17:35:03"/>
    <x v="11"/>
    <d v="1899-12-30T00:42:53"/>
    <n v="0.7147222223575227"/>
    <x v="3"/>
  </r>
  <r>
    <d v="2020-09-13T18:32:59"/>
    <d v="2020-09-13T19:19:01"/>
    <x v="11"/>
    <d v="1899-12-30T00:46:02"/>
    <n v="0.76722222223179415"/>
    <x v="3"/>
  </r>
  <r>
    <d v="2020-09-19T16:00:45"/>
    <d v="2020-09-19T19:08:11"/>
    <x v="9"/>
    <d v="1899-12-30T03:07:26"/>
    <n v="3.123888888861984"/>
    <x v="3"/>
  </r>
  <r>
    <d v="2020-09-20T10:49:46"/>
    <d v="2020-09-20T12:14:01"/>
    <x v="9"/>
    <d v="1899-12-30T01:24:15"/>
    <n v="1.40416666661622"/>
    <x v="3"/>
  </r>
  <r>
    <d v="2020-09-20T12:46:45"/>
    <d v="2020-09-20T14:51:55"/>
    <x v="10"/>
    <d v="1899-12-30T02:05:10"/>
    <n v="2.0861111110425554"/>
    <x v="3"/>
  </r>
  <r>
    <d v="2020-09-26T13:08:22"/>
    <d v="2020-09-26T16:10:25"/>
    <x v="10"/>
    <d v="1899-12-30T03:02:03"/>
    <n v="3.0341666666208766"/>
    <x v="3"/>
  </r>
  <r>
    <d v="2020-09-26T19:15:31"/>
    <d v="2020-09-26T20:06:02"/>
    <x v="10"/>
    <d v="1899-12-30T00:50:31"/>
    <n v="0.84194444445893168"/>
    <x v="3"/>
  </r>
  <r>
    <d v="2020-09-28T16:42:59"/>
    <d v="2020-09-28T17:46:00"/>
    <x v="12"/>
    <d v="1899-12-30T01:03:01"/>
    <n v="1.0502777777728625"/>
    <x v="3"/>
  </r>
  <r>
    <d v="2020-10-12T19:21:49"/>
    <d v="2020-10-12T21:29:49"/>
    <x v="13"/>
    <d v="1899-12-30T02:08:00"/>
    <n v="2.1333333333022892"/>
    <x v="3"/>
  </r>
  <r>
    <d v="2020-10-13T19:00:21"/>
    <d v="2020-10-13T21:11:52"/>
    <x v="10"/>
    <d v="1899-12-30T02:11:31"/>
    <n v="2.1919444443192333"/>
    <x v="3"/>
  </r>
  <r>
    <d v="2020-10-15T16:56:43"/>
    <d v="2020-10-15T17:53:28"/>
    <x v="10"/>
    <d v="1899-12-30T00:56:45"/>
    <n v="0.94583333336049691"/>
    <x v="3"/>
  </r>
  <r>
    <d v="2020-10-15T18:51:52"/>
    <d v="2020-10-15T19:55:17"/>
    <x v="10"/>
    <d v="1899-12-30T01:03:25"/>
    <n v="1.0569444444263354"/>
    <x v="3"/>
  </r>
  <r>
    <d v="2020-10-16T11:32:37"/>
    <d v="2020-10-16T12:13:15"/>
    <x v="11"/>
    <d v="1899-12-30T00:40:38"/>
    <n v="0.67722222214797512"/>
    <x v="3"/>
  </r>
  <r>
    <d v="2020-10-17T13:38:16"/>
    <d v="2020-10-17T14:43:28"/>
    <x v="11"/>
    <d v="1899-12-30T01:05:12"/>
    <n v="1.0866666666115634"/>
    <x v="3"/>
  </r>
  <r>
    <d v="2020-10-17T15:19:50"/>
    <d v="2020-10-17T18:14:52"/>
    <x v="11"/>
    <d v="1899-12-30T02:55:02"/>
    <n v="2.9172222222550772"/>
    <x v="3"/>
  </r>
  <r>
    <d v="2020-10-18T12:55:33"/>
    <d v="2020-10-18T16:33:09"/>
    <x v="11"/>
    <d v="1899-12-30T03:37:36"/>
    <n v="3.6266666666488163"/>
    <x v="3"/>
  </r>
  <r>
    <d v="2020-10-18T18:56:37"/>
    <d v="2020-10-18T20:03:03"/>
    <x v="11"/>
    <d v="1899-12-30T01:06:26"/>
    <n v="1.1072222222574055"/>
    <x v="3"/>
  </r>
  <r>
    <d v="2020-10-19T08:41:24"/>
    <d v="2020-10-19T10:18:04"/>
    <x v="14"/>
    <d v="1899-12-30T01:36:40"/>
    <n v="1.6111111110658385"/>
    <x v="3"/>
  </r>
  <r>
    <d v="2020-10-19T16:50:01"/>
    <d v="2020-10-19T17:53:58"/>
    <x v="11"/>
    <d v="1899-12-30T01:03:57"/>
    <n v="1.0658333334722556"/>
    <x v="3"/>
  </r>
  <r>
    <d v="2020-10-19T18:53:54"/>
    <d v="2020-10-19T20:44:39"/>
    <x v="11"/>
    <d v="1899-12-30T01:50:45"/>
    <n v="1.8458333333255723"/>
    <x v="3"/>
  </r>
  <r>
    <d v="2020-10-21T16:03:13"/>
    <d v="2020-10-21T17:07:58"/>
    <x v="15"/>
    <d v="1899-12-30T01:04:45"/>
    <n v="1.0791666666045785"/>
    <x v="3"/>
  </r>
  <r>
    <d v="2020-10-21T18:44:30"/>
    <d v="2020-10-21T20:07:23"/>
    <x v="15"/>
    <d v="1899-12-30T01:22:53"/>
    <n v="1.3813888889271766"/>
    <x v="3"/>
  </r>
  <r>
    <d v="2020-10-24T09:38:48"/>
    <d v="2020-10-24T11:53:53"/>
    <x v="15"/>
    <d v="1899-12-30T02:15:05"/>
    <n v="2.2513888888643123"/>
    <x v="3"/>
  </r>
  <r>
    <d v="2020-10-26T16:59:57"/>
    <d v="2020-10-26T17:21:20"/>
    <x v="15"/>
    <d v="1899-12-30T00:21:23"/>
    <n v="0.35638888890389353"/>
    <x v="3"/>
  </r>
  <r>
    <d v="2020-10-26T18:18:27"/>
    <d v="2020-10-26T19:38:52"/>
    <x v="15"/>
    <d v="1899-12-30T01:20:25"/>
    <n v="1.3402777778101154"/>
    <x v="3"/>
  </r>
  <r>
    <d v="2020-10-27T19:14:53"/>
    <d v="2020-10-27T21:06:47"/>
    <x v="15"/>
    <d v="1899-12-30T01:51:54"/>
    <n v="1.8650000001071021"/>
    <x v="3"/>
  </r>
  <r>
    <d v="2020-10-28T19:16:25"/>
    <d v="2020-10-28T21:22:42"/>
    <x v="15"/>
    <d v="1899-12-30T02:06:17"/>
    <n v="2.1047222223132849"/>
    <x v="3"/>
  </r>
  <r>
    <d v="2020-10-29T15:34:17"/>
    <d v="2020-10-29T15:51:45"/>
    <x v="15"/>
    <d v="1899-12-30T00:17:28"/>
    <n v="0.29111111105885357"/>
    <x v="3"/>
  </r>
  <r>
    <d v="2020-10-29T16:24:35"/>
    <d v="2020-10-29T17:03:03"/>
    <x v="15"/>
    <d v="1899-12-30T00:38:28"/>
    <n v="0.64111111115198582"/>
    <x v="3"/>
  </r>
  <r>
    <d v="2020-12-08T13:43:08"/>
    <d v="2020-12-08T14:03:17"/>
    <x v="16"/>
    <d v="1899-12-30T00:20:09"/>
    <n v="0.33583333325805143"/>
    <x v="4"/>
  </r>
  <r>
    <d v="2021-01-12T15:29:39"/>
    <d v="2021-01-12T16:29:35"/>
    <x v="17"/>
    <d v="1899-12-30T00:59:56"/>
    <n v="0.99888888892019168"/>
    <x v="4"/>
  </r>
  <r>
    <d v="2021-01-14T14:38:10"/>
    <d v="2021-01-14T14:58:50"/>
    <x v="18"/>
    <d v="1899-12-30T00:20:40"/>
    <n v="0.34444444446125999"/>
    <x v="4"/>
  </r>
  <r>
    <d v="2021-01-18T09:04:59"/>
    <d v="2021-01-18T11:03:14"/>
    <x v="18"/>
    <d v="1899-12-30T01:58:15"/>
    <n v="1.97083333338378"/>
    <x v="4"/>
  </r>
  <r>
    <d v="2021-01-18T13:13:05"/>
    <d v="2021-01-18T15:29:08"/>
    <x v="19"/>
    <d v="1899-12-30T02:16:03"/>
    <n v="2.2675000000745058"/>
    <x v="4"/>
  </r>
  <r>
    <d v="2021-01-26T14:31:55"/>
    <d v="2021-01-26T15:08:51"/>
    <x v="19"/>
    <d v="1899-12-30T00:36:56"/>
    <n v="0.61555555555969477"/>
    <x v="4"/>
  </r>
  <r>
    <d v="2021-01-26T18:11:15"/>
    <d v="2021-01-26T19:13:35"/>
    <x v="19"/>
    <d v="1899-12-30T01:02:20"/>
    <n v="1.0388888888410293"/>
    <x v="4"/>
  </r>
  <r>
    <d v="2021-01-30T09:09:10"/>
    <d v="2021-01-30T11:14:10"/>
    <x v="19"/>
    <d v="1899-12-30T02:05:00"/>
    <n v="2.0833333334885538"/>
    <x v="4"/>
  </r>
  <r>
    <d v="2021-01-30T18:45:00"/>
    <d v="2021-01-30T19:22:40"/>
    <x v="19"/>
    <d v="1899-12-30T00:37:40"/>
    <n v="0.62777777784503996"/>
    <x v="4"/>
  </r>
  <r>
    <d v="2021-02-01T19:13:58"/>
    <d v="2021-02-01T20:52:26"/>
    <x v="19"/>
    <d v="1899-12-30T01:38:28"/>
    <n v="1.6411111110937782"/>
    <x v="4"/>
  </r>
  <r>
    <d v="2021-02-07T13:18:12"/>
    <d v="2021-02-07T16:27:23"/>
    <x v="20"/>
    <d v="1899-12-30T03:09:11"/>
    <n v="3.1530555555364117"/>
    <x v="5"/>
  </r>
  <r>
    <d v="2021-02-08T09:27:25"/>
    <d v="2021-02-08T10:01:50"/>
    <x v="21"/>
    <d v="1899-12-30T00:34:25"/>
    <n v="0.57361111108912155"/>
    <x v="5"/>
  </r>
  <r>
    <d v="2021-02-10T19:49:30"/>
    <d v="2021-02-10T20:24:03"/>
    <x v="19"/>
    <d v="1899-12-30T00:34:33"/>
    <n v="0.57583333330694586"/>
    <x v="5"/>
  </r>
  <r>
    <d v="2021-02-13T14:46:02"/>
    <m/>
    <x v="22"/>
    <n v="-44240.615300925929"/>
    <n v="-1061774.7672222224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  <r>
    <m/>
    <m/>
    <x v="22"/>
    <d v="1899-12-30T00:00:00"/>
    <n v="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DA0E4-D122-0844-8BC9-43AF5F2BE06E}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7" firstHeaderRow="1" firstDataRow="1" firstDataCol="1" rowPageCount="1" colPageCount="1"/>
  <pivotFields count="6">
    <pivotField multipleItemSelectionAllowed="1" showAll="0"/>
    <pivotField showAll="0"/>
    <pivotField axis="axisRow" showAll="0">
      <items count="24">
        <item x="0"/>
        <item x="1"/>
        <item x="6"/>
        <item x="2"/>
        <item x="7"/>
        <item x="4"/>
        <item x="8"/>
        <item x="9"/>
        <item x="10"/>
        <item x="14"/>
        <item x="11"/>
        <item x="15"/>
        <item x="12"/>
        <item x="5"/>
        <item x="3"/>
        <item x="13"/>
        <item x="22"/>
        <item x="16"/>
        <item x="17"/>
        <item x="18"/>
        <item x="19"/>
        <item x="20"/>
        <item x="21"/>
        <item t="default"/>
      </items>
    </pivotField>
    <pivotField numFmtId="164" showAll="0"/>
    <pivotField dataField="1" numFmtId="2" showAll="0"/>
    <pivotField axis="axisPage" multipleItemSelectionAllowed="1" showAll="0">
      <items count="8">
        <item h="1" x="0"/>
        <item h="1" x="1"/>
        <item h="1" x="2"/>
        <item h="1" x="3"/>
        <item h="1" x="6"/>
        <item h="1" x="4"/>
        <item x="5"/>
        <item t="default"/>
      </items>
    </pivotField>
  </pivotFields>
  <rowFields count="1">
    <field x="2"/>
  </rowFields>
  <rowItems count="4">
    <i>
      <x v="20"/>
    </i>
    <i>
      <x v="21"/>
    </i>
    <i>
      <x v="22"/>
    </i>
    <i t="grand">
      <x/>
    </i>
  </rowItems>
  <colItems count="1">
    <i/>
  </colItems>
  <pageFields count="1">
    <pageField fld="5" hier="-1"/>
  </pageFields>
  <dataFields count="1">
    <dataField name="Sum of Hours" fld="4" baseField="0" baseItem="0" numFmtId="165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J130"/>
  <sheetViews>
    <sheetView tabSelected="1" zoomScale="118" zoomScaleNormal="118" workbookViewId="0">
      <pane ySplit="3" topLeftCell="A99" activePane="bottomLeft" state="frozen"/>
      <selection pane="bottomLeft" activeCell="C113" sqref="C113"/>
    </sheetView>
  </sheetViews>
  <sheetFormatPr baseColWidth="10" defaultRowHeight="16" x14ac:dyDescent="0.2"/>
  <cols>
    <col min="1" max="2" width="22.83203125" customWidth="1"/>
    <col min="3" max="3" width="27.33203125" customWidth="1"/>
    <col min="4" max="5" width="15.6640625" customWidth="1"/>
    <col min="6" max="6" width="11.33203125" bestFit="1" customWidth="1"/>
  </cols>
  <sheetData>
    <row r="1" spans="1:10" x14ac:dyDescent="0.2">
      <c r="E1" t="s">
        <v>27</v>
      </c>
      <c r="F1" s="3">
        <f>SUMIF(E4:E502, "&gt;0")</f>
        <v>187.72916666651145</v>
      </c>
      <c r="G1" s="7">
        <f>F1/320</f>
        <v>0.58665364583284829</v>
      </c>
      <c r="H1" t="s">
        <v>7</v>
      </c>
      <c r="I1" s="3">
        <f>320-F1</f>
        <v>132.27083333348855</v>
      </c>
      <c r="J1" s="7">
        <f>I1/320</f>
        <v>0.41334635416715171</v>
      </c>
    </row>
    <row r="3" spans="1:10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t="s">
        <v>28</v>
      </c>
    </row>
    <row r="4" spans="1:10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  <c r="F4">
        <v>1</v>
      </c>
    </row>
    <row r="5" spans="1:10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  <c r="F5">
        <v>1</v>
      </c>
    </row>
    <row r="6" spans="1:10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  <c r="F6">
        <v>1</v>
      </c>
    </row>
    <row r="7" spans="1:10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  <c r="F7">
        <v>1</v>
      </c>
    </row>
    <row r="8" spans="1:10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  <c r="F8">
        <v>1</v>
      </c>
    </row>
    <row r="9" spans="1:10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  <c r="F9">
        <v>1</v>
      </c>
    </row>
    <row r="10" spans="1:10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  <c r="F10">
        <v>1</v>
      </c>
    </row>
    <row r="11" spans="1:10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  <c r="F11">
        <v>1</v>
      </c>
    </row>
    <row r="12" spans="1:10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  <c r="F12">
        <v>1</v>
      </c>
    </row>
    <row r="13" spans="1:10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  <c r="F13">
        <v>1</v>
      </c>
    </row>
    <row r="14" spans="1:10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  <c r="F14">
        <v>1</v>
      </c>
    </row>
    <row r="15" spans="1:10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  <c r="F15">
        <v>1</v>
      </c>
    </row>
    <row r="16" spans="1:10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  <c r="F16">
        <v>1</v>
      </c>
    </row>
    <row r="17" spans="1:6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  <c r="F17">
        <v>1</v>
      </c>
    </row>
    <row r="18" spans="1:6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  <c r="F18">
        <v>1</v>
      </c>
    </row>
    <row r="19" spans="1:6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  <c r="F19">
        <v>1</v>
      </c>
    </row>
    <row r="20" spans="1:6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  <c r="F20">
        <v>1</v>
      </c>
    </row>
    <row r="21" spans="1:6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  <c r="F21">
        <v>1</v>
      </c>
    </row>
    <row r="22" spans="1:6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  <c r="F22">
        <v>1</v>
      </c>
    </row>
    <row r="23" spans="1:6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  <c r="F23">
        <v>1</v>
      </c>
    </row>
    <row r="24" spans="1:6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  <c r="F24">
        <v>1</v>
      </c>
    </row>
    <row r="25" spans="1:6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  <c r="F25">
        <v>1</v>
      </c>
    </row>
    <row r="26" spans="1:6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  <c r="F26">
        <v>1</v>
      </c>
    </row>
    <row r="27" spans="1:6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  <c r="F27">
        <v>1</v>
      </c>
    </row>
    <row r="28" spans="1:6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  <c r="F28">
        <v>1</v>
      </c>
    </row>
    <row r="29" spans="1:6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  <c r="F29">
        <v>1</v>
      </c>
    </row>
    <row r="30" spans="1:6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  <c r="F30">
        <v>1</v>
      </c>
    </row>
    <row r="31" spans="1:6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  <c r="F31">
        <v>1</v>
      </c>
    </row>
    <row r="32" spans="1:6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  <c r="F32">
        <v>1</v>
      </c>
    </row>
    <row r="33" spans="1:6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  <c r="F33">
        <v>1</v>
      </c>
    </row>
    <row r="34" spans="1:6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  <c r="F34">
        <v>1</v>
      </c>
    </row>
    <row r="35" spans="1:6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  <c r="F35">
        <v>1</v>
      </c>
    </row>
    <row r="36" spans="1:6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  <c r="F36">
        <v>1</v>
      </c>
    </row>
    <row r="37" spans="1:6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  <c r="F37">
        <v>1</v>
      </c>
    </row>
    <row r="38" spans="1:6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  <c r="F38">
        <v>2</v>
      </c>
    </row>
    <row r="39" spans="1:6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  <c r="F39">
        <v>2</v>
      </c>
    </row>
    <row r="40" spans="1:6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  <c r="F40">
        <v>2</v>
      </c>
    </row>
    <row r="41" spans="1:6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  <c r="F41">
        <v>2</v>
      </c>
    </row>
    <row r="42" spans="1:6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  <c r="F42">
        <v>2</v>
      </c>
    </row>
    <row r="43" spans="1:6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  <c r="F43">
        <v>2</v>
      </c>
    </row>
    <row r="44" spans="1:6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  <c r="F44">
        <v>2</v>
      </c>
    </row>
    <row r="45" spans="1:6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  <c r="F45">
        <v>2</v>
      </c>
    </row>
    <row r="46" spans="1:6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  <c r="F46">
        <v>2</v>
      </c>
    </row>
    <row r="47" spans="1:6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  <c r="F47">
        <v>2</v>
      </c>
    </row>
    <row r="48" spans="1:6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  <c r="F48">
        <v>2</v>
      </c>
    </row>
    <row r="49" spans="1:6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  <c r="F49">
        <v>2</v>
      </c>
    </row>
    <row r="50" spans="1:6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  <c r="F50">
        <v>3</v>
      </c>
    </row>
    <row r="51" spans="1:6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  <c r="F51">
        <v>3</v>
      </c>
    </row>
    <row r="52" spans="1:6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  <c r="F52">
        <v>3</v>
      </c>
    </row>
    <row r="53" spans="1:6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  <c r="F53">
        <v>3</v>
      </c>
    </row>
    <row r="54" spans="1:6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  <c r="F54">
        <v>3</v>
      </c>
    </row>
    <row r="55" spans="1:6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  <c r="F55">
        <v>3</v>
      </c>
    </row>
    <row r="56" spans="1:6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  <c r="F56">
        <v>3</v>
      </c>
    </row>
    <row r="57" spans="1:6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  <c r="F57">
        <v>3</v>
      </c>
    </row>
    <row r="58" spans="1:6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  <c r="F58">
        <v>3</v>
      </c>
    </row>
    <row r="59" spans="1:6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  <c r="F59">
        <v>3</v>
      </c>
    </row>
    <row r="60" spans="1:6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  <c r="F60">
        <v>4</v>
      </c>
    </row>
    <row r="61" spans="1:6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  <c r="F61">
        <v>4</v>
      </c>
    </row>
    <row r="62" spans="1:6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  <c r="F62">
        <v>4</v>
      </c>
    </row>
    <row r="63" spans="1:6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  <c r="F63">
        <v>4</v>
      </c>
    </row>
    <row r="64" spans="1:6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  <c r="F64">
        <v>4</v>
      </c>
    </row>
    <row r="65" spans="1:6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  <c r="F65">
        <v>4</v>
      </c>
    </row>
    <row r="66" spans="1:6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  <c r="F66">
        <v>4</v>
      </c>
    </row>
    <row r="67" spans="1:6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  <c r="F67">
        <v>4</v>
      </c>
    </row>
    <row r="68" spans="1:6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  <c r="F68">
        <v>4</v>
      </c>
    </row>
    <row r="69" spans="1:6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  <c r="F69">
        <v>4</v>
      </c>
    </row>
    <row r="70" spans="1:6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  <c r="F70">
        <v>4</v>
      </c>
    </row>
    <row r="71" spans="1:6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  <c r="F71">
        <v>4</v>
      </c>
    </row>
    <row r="72" spans="1:6" x14ac:dyDescent="0.2">
      <c r="A72" s="1">
        <v>44093.667187500003</v>
      </c>
      <c r="B72" s="1">
        <v>44093.797349537039</v>
      </c>
      <c r="C72" t="s">
        <v>17</v>
      </c>
      <c r="D72" s="2">
        <f t="shared" si="2"/>
        <v>0.130162037035916</v>
      </c>
      <c r="E72" s="3">
        <f t="shared" si="3"/>
        <v>3.123888888861984</v>
      </c>
      <c r="F72">
        <v>4</v>
      </c>
    </row>
    <row r="73" spans="1:6" x14ac:dyDescent="0.2">
      <c r="A73" s="1">
        <v>44094.451226851852</v>
      </c>
      <c r="B73" s="1">
        <v>44094.509733796294</v>
      </c>
      <c r="C73" t="s">
        <v>17</v>
      </c>
      <c r="D73" s="2">
        <f t="shared" si="2"/>
        <v>5.8506944442342501E-2</v>
      </c>
      <c r="E73" s="3">
        <f t="shared" si="3"/>
        <v>1.40416666661622</v>
      </c>
      <c r="F73">
        <v>4</v>
      </c>
    </row>
    <row r="74" spans="1:6" x14ac:dyDescent="0.2">
      <c r="A74" s="1">
        <v>44094.532465277778</v>
      </c>
      <c r="B74" s="1">
        <v>44094.619386574072</v>
      </c>
      <c r="C74" t="s">
        <v>18</v>
      </c>
      <c r="D74" s="2">
        <f t="shared" si="2"/>
        <v>8.6921296293439809E-2</v>
      </c>
      <c r="E74" s="3">
        <f t="shared" si="3"/>
        <v>2.0861111110425554</v>
      </c>
      <c r="F74">
        <v>4</v>
      </c>
    </row>
    <row r="75" spans="1:6" x14ac:dyDescent="0.2">
      <c r="A75" s="1">
        <v>44100.547476851854</v>
      </c>
      <c r="B75" s="1">
        <v>44100.673900462964</v>
      </c>
      <c r="C75" t="s">
        <v>18</v>
      </c>
      <c r="D75" s="2">
        <f t="shared" si="2"/>
        <v>0.12642361110920319</v>
      </c>
      <c r="E75" s="3">
        <f t="shared" si="3"/>
        <v>3.0341666666208766</v>
      </c>
      <c r="F75">
        <v>4</v>
      </c>
    </row>
    <row r="76" spans="1:6" x14ac:dyDescent="0.2">
      <c r="A76" s="1">
        <v>44100.802442129629</v>
      </c>
      <c r="B76" s="1">
        <v>44100.837523148148</v>
      </c>
      <c r="C76" t="s">
        <v>18</v>
      </c>
      <c r="D76" s="2">
        <f t="shared" si="2"/>
        <v>3.5081018519122154E-2</v>
      </c>
      <c r="E76" s="3">
        <f t="shared" si="3"/>
        <v>0.84194444445893168</v>
      </c>
      <c r="F76">
        <v>4</v>
      </c>
    </row>
    <row r="77" spans="1:6" x14ac:dyDescent="0.2">
      <c r="A77" s="1">
        <v>44102.696516203701</v>
      </c>
      <c r="B77" s="1">
        <v>44102.740277777775</v>
      </c>
      <c r="C77" t="s">
        <v>20</v>
      </c>
      <c r="D77" s="2">
        <f t="shared" si="2"/>
        <v>4.3761574073869269E-2</v>
      </c>
      <c r="E77" s="3">
        <f t="shared" si="3"/>
        <v>1.0502777777728625</v>
      </c>
      <c r="F77">
        <v>4</v>
      </c>
    </row>
    <row r="78" spans="1:6" x14ac:dyDescent="0.2">
      <c r="A78" s="1">
        <v>44116.806817129633</v>
      </c>
      <c r="B78" s="1">
        <v>44116.89570601852</v>
      </c>
      <c r="C78" t="s">
        <v>21</v>
      </c>
      <c r="D78" s="2">
        <f t="shared" si="2"/>
        <v>8.8888888887595385E-2</v>
      </c>
      <c r="E78" s="3">
        <f t="shared" si="3"/>
        <v>2.1333333333022892</v>
      </c>
      <c r="F78">
        <v>4</v>
      </c>
    </row>
    <row r="79" spans="1:6" x14ac:dyDescent="0.2">
      <c r="A79" s="1">
        <v>44117.791909722226</v>
      </c>
      <c r="B79" s="1">
        <v>44117.883240740739</v>
      </c>
      <c r="C79" t="s">
        <v>18</v>
      </c>
      <c r="D79" s="2">
        <f t="shared" si="2"/>
        <v>9.1331018513301387E-2</v>
      </c>
      <c r="E79" s="3">
        <f t="shared" si="3"/>
        <v>2.1919444443192333</v>
      </c>
      <c r="F79">
        <v>4</v>
      </c>
    </row>
    <row r="80" spans="1:6" x14ac:dyDescent="0.2">
      <c r="A80" s="1">
        <v>44119.706053240741</v>
      </c>
      <c r="B80" s="1">
        <v>44119.745462962965</v>
      </c>
      <c r="C80" t="s">
        <v>18</v>
      </c>
      <c r="D80" s="2">
        <f t="shared" si="2"/>
        <v>3.9409722223354038E-2</v>
      </c>
      <c r="E80" s="3">
        <f t="shared" si="3"/>
        <v>0.94583333336049691</v>
      </c>
      <c r="F80">
        <v>4</v>
      </c>
    </row>
    <row r="81" spans="1:6" x14ac:dyDescent="0.2">
      <c r="A81" s="1">
        <v>44119.78601851852</v>
      </c>
      <c r="B81" s="1">
        <v>44119.830057870371</v>
      </c>
      <c r="C81" t="s">
        <v>18</v>
      </c>
      <c r="D81" s="2">
        <f t="shared" si="2"/>
        <v>4.4039351851097308E-2</v>
      </c>
      <c r="E81" s="3">
        <f t="shared" si="3"/>
        <v>1.0569444444263354</v>
      </c>
      <c r="F81">
        <v>4</v>
      </c>
    </row>
    <row r="82" spans="1:6" x14ac:dyDescent="0.2">
      <c r="A82" s="1">
        <v>44120.480983796297</v>
      </c>
      <c r="B82" s="1">
        <v>44120.509201388886</v>
      </c>
      <c r="C82" t="s">
        <v>19</v>
      </c>
      <c r="D82" s="2">
        <f t="shared" si="2"/>
        <v>2.8217592589498963E-2</v>
      </c>
      <c r="E82" s="3">
        <f t="shared" si="3"/>
        <v>0.67722222214797512</v>
      </c>
      <c r="F82">
        <v>4</v>
      </c>
    </row>
    <row r="83" spans="1:6" x14ac:dyDescent="0.2">
      <c r="A83" s="1">
        <v>44121.568240740744</v>
      </c>
      <c r="B83" s="1">
        <v>44121.613518518519</v>
      </c>
      <c r="C83" t="s">
        <v>19</v>
      </c>
      <c r="D83" s="2">
        <f t="shared" si="2"/>
        <v>4.5277777775481809E-2</v>
      </c>
      <c r="E83" s="3">
        <f t="shared" si="3"/>
        <v>1.0866666666115634</v>
      </c>
      <c r="F83">
        <v>4</v>
      </c>
    </row>
    <row r="84" spans="1:6" x14ac:dyDescent="0.2">
      <c r="A84" s="1">
        <v>44121.638773148145</v>
      </c>
      <c r="B84" s="1">
        <v>44121.760324074072</v>
      </c>
      <c r="C84" t="s">
        <v>19</v>
      </c>
      <c r="D84" s="2">
        <f t="shared" si="2"/>
        <v>0.12155092592729488</v>
      </c>
      <c r="E84" s="3">
        <f t="shared" si="3"/>
        <v>2.9172222222550772</v>
      </c>
      <c r="F84">
        <v>4</v>
      </c>
    </row>
    <row r="85" spans="1:6" x14ac:dyDescent="0.2">
      <c r="A85" s="1">
        <v>44122.538576388892</v>
      </c>
      <c r="B85" s="1">
        <v>44122.689687500002</v>
      </c>
      <c r="C85" t="s">
        <v>19</v>
      </c>
      <c r="D85" s="2">
        <f t="shared" si="2"/>
        <v>0.15111111111036735</v>
      </c>
      <c r="E85" s="3">
        <f t="shared" si="3"/>
        <v>3.6266666666488163</v>
      </c>
      <c r="F85">
        <v>4</v>
      </c>
    </row>
    <row r="86" spans="1:6" x14ac:dyDescent="0.2">
      <c r="A86" s="1">
        <v>44122.789317129631</v>
      </c>
      <c r="B86" s="1">
        <v>44122.835451388892</v>
      </c>
      <c r="C86" t="s">
        <v>19</v>
      </c>
      <c r="D86" s="2">
        <f t="shared" ref="D86:D130" si="4">B86-A86</f>
        <v>4.613425926072523E-2</v>
      </c>
      <c r="E86" s="3">
        <f t="shared" ref="E86:E130" si="5">D86*24</f>
        <v>1.1072222222574055</v>
      </c>
      <c r="F86">
        <v>4</v>
      </c>
    </row>
    <row r="87" spans="1:6" x14ac:dyDescent="0.2">
      <c r="A87" s="1">
        <v>44123.362083333333</v>
      </c>
      <c r="B87" s="1">
        <v>44123.429212962961</v>
      </c>
      <c r="C87" t="s">
        <v>22</v>
      </c>
      <c r="D87" s="2">
        <f t="shared" si="4"/>
        <v>6.712962962774327E-2</v>
      </c>
      <c r="E87" s="3">
        <f t="shared" si="5"/>
        <v>1.6111111110658385</v>
      </c>
      <c r="F87">
        <v>4</v>
      </c>
    </row>
    <row r="88" spans="1:6" x14ac:dyDescent="0.2">
      <c r="A88" s="1">
        <v>44123.70140046296</v>
      </c>
      <c r="B88" s="1">
        <v>44123.745810185188</v>
      </c>
      <c r="C88" t="s">
        <v>19</v>
      </c>
      <c r="D88" s="2">
        <f t="shared" si="4"/>
        <v>4.4409722228010651E-2</v>
      </c>
      <c r="E88" s="3">
        <f t="shared" si="5"/>
        <v>1.0658333334722556</v>
      </c>
      <c r="F88">
        <v>4</v>
      </c>
    </row>
    <row r="89" spans="1:6" x14ac:dyDescent="0.2">
      <c r="A89" s="1">
        <v>44123.787430555552</v>
      </c>
      <c r="B89" s="1">
        <v>44123.864340277774</v>
      </c>
      <c r="C89" t="s">
        <v>19</v>
      </c>
      <c r="D89" s="2">
        <f t="shared" si="4"/>
        <v>7.6909722221898846E-2</v>
      </c>
      <c r="E89" s="3">
        <f t="shared" si="5"/>
        <v>1.8458333333255723</v>
      </c>
      <c r="F89">
        <v>4</v>
      </c>
    </row>
    <row r="90" spans="1:6" x14ac:dyDescent="0.2">
      <c r="A90" s="1">
        <v>44125.668900462966</v>
      </c>
      <c r="B90" s="1">
        <v>44125.713865740741</v>
      </c>
      <c r="C90" t="s">
        <v>23</v>
      </c>
      <c r="D90" s="2">
        <f t="shared" si="4"/>
        <v>4.4965277775190771E-2</v>
      </c>
      <c r="E90" s="3">
        <f t="shared" si="5"/>
        <v>1.0791666666045785</v>
      </c>
      <c r="F90">
        <v>4</v>
      </c>
    </row>
    <row r="91" spans="1:6" x14ac:dyDescent="0.2">
      <c r="A91" s="1">
        <v>44125.780902777777</v>
      </c>
      <c r="B91" s="1">
        <v>44125.838460648149</v>
      </c>
      <c r="C91" t="s">
        <v>23</v>
      </c>
      <c r="D91" s="2">
        <f t="shared" si="4"/>
        <v>5.7557870371965691E-2</v>
      </c>
      <c r="E91" s="3">
        <f t="shared" si="5"/>
        <v>1.3813888889271766</v>
      </c>
      <c r="F91">
        <v>4</v>
      </c>
    </row>
    <row r="92" spans="1:6" x14ac:dyDescent="0.2">
      <c r="A92" s="1">
        <v>44128.401944444442</v>
      </c>
      <c r="B92" s="1">
        <v>44128.495752314811</v>
      </c>
      <c r="C92" t="s">
        <v>23</v>
      </c>
      <c r="D92" s="2">
        <f t="shared" si="4"/>
        <v>9.3807870369346347E-2</v>
      </c>
      <c r="E92" s="3">
        <f t="shared" si="5"/>
        <v>2.2513888888643123</v>
      </c>
      <c r="F92">
        <v>4</v>
      </c>
    </row>
    <row r="93" spans="1:6" x14ac:dyDescent="0.2">
      <c r="A93" s="1">
        <v>44130.708298611113</v>
      </c>
      <c r="B93" s="1">
        <v>44130.72314814815</v>
      </c>
      <c r="C93" t="s">
        <v>23</v>
      </c>
      <c r="D93" s="2">
        <f t="shared" si="4"/>
        <v>1.484953703766223E-2</v>
      </c>
      <c r="E93" s="3">
        <f t="shared" si="5"/>
        <v>0.35638888890389353</v>
      </c>
      <c r="F93">
        <v>4</v>
      </c>
    </row>
    <row r="94" spans="1:6" x14ac:dyDescent="0.2">
      <c r="A94" s="1">
        <v>44130.762812499997</v>
      </c>
      <c r="B94" s="1">
        <v>44130.818657407406</v>
      </c>
      <c r="C94" t="s">
        <v>23</v>
      </c>
      <c r="D94" s="2">
        <f t="shared" si="4"/>
        <v>5.5844907408754807E-2</v>
      </c>
      <c r="E94" s="3">
        <f t="shared" si="5"/>
        <v>1.3402777778101154</v>
      </c>
      <c r="F94">
        <v>4</v>
      </c>
    </row>
    <row r="95" spans="1:6" x14ac:dyDescent="0.2">
      <c r="A95" s="1">
        <v>44131.802002314813</v>
      </c>
      <c r="B95" s="1">
        <v>44131.879710648151</v>
      </c>
      <c r="C95" t="s">
        <v>23</v>
      </c>
      <c r="D95" s="2">
        <f t="shared" si="4"/>
        <v>7.7708333337795921E-2</v>
      </c>
      <c r="E95" s="3">
        <f t="shared" si="5"/>
        <v>1.8650000001071021</v>
      </c>
      <c r="F95">
        <v>4</v>
      </c>
    </row>
    <row r="96" spans="1:6" x14ac:dyDescent="0.2">
      <c r="A96" s="1">
        <v>44132.803067129629</v>
      </c>
      <c r="B96" s="1">
        <v>44132.890763888892</v>
      </c>
      <c r="C96" t="s">
        <v>23</v>
      </c>
      <c r="D96" s="2">
        <f t="shared" si="4"/>
        <v>8.7696759263053536E-2</v>
      </c>
      <c r="E96" s="3">
        <f t="shared" si="5"/>
        <v>2.1047222223132849</v>
      </c>
      <c r="F96">
        <v>4</v>
      </c>
    </row>
    <row r="97" spans="1:6" x14ac:dyDescent="0.2">
      <c r="A97" s="1">
        <v>44133.64880787037</v>
      </c>
      <c r="B97" s="1">
        <v>44133.660937499997</v>
      </c>
      <c r="C97" t="s">
        <v>23</v>
      </c>
      <c r="D97" s="2">
        <f t="shared" si="4"/>
        <v>1.2129629627452232E-2</v>
      </c>
      <c r="E97" s="3">
        <f t="shared" si="5"/>
        <v>0.29111111105885357</v>
      </c>
      <c r="F97">
        <v>4</v>
      </c>
    </row>
    <row r="98" spans="1:6" x14ac:dyDescent="0.2">
      <c r="A98" s="1">
        <v>44133.683738425927</v>
      </c>
      <c r="B98" s="1">
        <v>44133.710451388892</v>
      </c>
      <c r="C98" t="s">
        <v>23</v>
      </c>
      <c r="D98" s="2">
        <f t="shared" si="4"/>
        <v>2.6712962964666076E-2</v>
      </c>
      <c r="E98" s="3">
        <f t="shared" si="5"/>
        <v>0.64111111115198582</v>
      </c>
      <c r="F98">
        <v>4</v>
      </c>
    </row>
    <row r="99" spans="1:6" x14ac:dyDescent="0.2">
      <c r="A99" s="1">
        <v>44173.571620370371</v>
      </c>
      <c r="B99" s="1">
        <v>44173.585613425923</v>
      </c>
      <c r="C99" t="s">
        <v>29</v>
      </c>
      <c r="D99" s="2">
        <f t="shared" si="4"/>
        <v>1.3993055552418809E-2</v>
      </c>
      <c r="E99" s="3">
        <f t="shared" si="5"/>
        <v>0.33583333325805143</v>
      </c>
      <c r="F99">
        <v>5</v>
      </c>
    </row>
    <row r="100" spans="1:6" x14ac:dyDescent="0.2">
      <c r="A100" s="1">
        <v>44208.645590277774</v>
      </c>
      <c r="B100" s="1">
        <v>44208.687210648146</v>
      </c>
      <c r="C100" t="s">
        <v>30</v>
      </c>
      <c r="D100" s="2">
        <f t="shared" si="4"/>
        <v>4.1620370371674653E-2</v>
      </c>
      <c r="E100" s="3">
        <f t="shared" si="5"/>
        <v>0.99888888892019168</v>
      </c>
      <c r="F100">
        <v>5</v>
      </c>
    </row>
    <row r="101" spans="1:6" x14ac:dyDescent="0.2">
      <c r="A101" s="1">
        <v>44210.609837962962</v>
      </c>
      <c r="B101" s="1">
        <v>44210.624189814815</v>
      </c>
      <c r="C101" t="s">
        <v>31</v>
      </c>
      <c r="D101" s="2">
        <f t="shared" si="4"/>
        <v>1.43518518525525E-2</v>
      </c>
      <c r="E101" s="3">
        <f t="shared" si="5"/>
        <v>0.34444444446125999</v>
      </c>
      <c r="F101">
        <v>5</v>
      </c>
    </row>
    <row r="102" spans="1:6" x14ac:dyDescent="0.2">
      <c r="A102" s="1">
        <v>44214.378460648149</v>
      </c>
      <c r="B102" s="1">
        <v>44214.460578703707</v>
      </c>
      <c r="C102" t="s">
        <v>31</v>
      </c>
      <c r="D102" s="2">
        <f t="shared" si="4"/>
        <v>8.2118055557657499E-2</v>
      </c>
      <c r="E102" s="3">
        <f t="shared" si="5"/>
        <v>1.97083333338378</v>
      </c>
      <c r="F102">
        <v>5</v>
      </c>
    </row>
    <row r="103" spans="1:6" x14ac:dyDescent="0.2">
      <c r="A103" s="1">
        <v>44214.550752314812</v>
      </c>
      <c r="B103" s="1">
        <v>44214.645231481481</v>
      </c>
      <c r="C103" t="s">
        <v>32</v>
      </c>
      <c r="D103" s="2">
        <f t="shared" si="4"/>
        <v>9.4479166669771075E-2</v>
      </c>
      <c r="E103" s="3">
        <f t="shared" si="5"/>
        <v>2.2675000000745058</v>
      </c>
      <c r="F103">
        <v>5</v>
      </c>
    </row>
    <row r="104" spans="1:6" x14ac:dyDescent="0.2">
      <c r="A104" s="1">
        <v>44222.605497685188</v>
      </c>
      <c r="B104" s="1">
        <v>44222.631145833337</v>
      </c>
      <c r="C104" t="s">
        <v>32</v>
      </c>
      <c r="D104" s="2">
        <f t="shared" si="4"/>
        <v>2.5648148148320615E-2</v>
      </c>
      <c r="E104" s="3">
        <f t="shared" si="5"/>
        <v>0.61555555555969477</v>
      </c>
      <c r="F104">
        <v>5</v>
      </c>
    </row>
    <row r="105" spans="1:6" x14ac:dyDescent="0.2">
      <c r="A105" s="1">
        <v>44222.7578125</v>
      </c>
      <c r="B105" s="1">
        <v>44222.801099537035</v>
      </c>
      <c r="C105" t="s">
        <v>32</v>
      </c>
      <c r="D105" s="2">
        <f t="shared" si="4"/>
        <v>4.3287037035042886E-2</v>
      </c>
      <c r="E105" s="3">
        <f t="shared" si="5"/>
        <v>1.0388888888410293</v>
      </c>
      <c r="F105">
        <v>5</v>
      </c>
    </row>
    <row r="106" spans="1:6" x14ac:dyDescent="0.2">
      <c r="A106" s="1">
        <v>44226.381365740737</v>
      </c>
      <c r="B106" s="1">
        <v>44226.468171296299</v>
      </c>
      <c r="C106" t="s">
        <v>32</v>
      </c>
      <c r="D106" s="2">
        <f t="shared" si="4"/>
        <v>8.6805555562023073E-2</v>
      </c>
      <c r="E106" s="3">
        <f t="shared" si="5"/>
        <v>2.0833333334885538</v>
      </c>
      <c r="F106">
        <v>5</v>
      </c>
    </row>
    <row r="107" spans="1:6" x14ac:dyDescent="0.2">
      <c r="A107" s="1">
        <v>44226.78125</v>
      </c>
      <c r="B107" s="1">
        <v>44226.80740740741</v>
      </c>
      <c r="C107" t="s">
        <v>32</v>
      </c>
      <c r="D107" s="2">
        <f t="shared" si="4"/>
        <v>2.6157407410209998E-2</v>
      </c>
      <c r="E107" s="3">
        <f t="shared" si="5"/>
        <v>0.62777777784503996</v>
      </c>
      <c r="F107">
        <v>5</v>
      </c>
    </row>
    <row r="108" spans="1:6" x14ac:dyDescent="0.2">
      <c r="A108" s="1">
        <v>44228.801365740743</v>
      </c>
      <c r="B108" s="1">
        <v>44228.869745370372</v>
      </c>
      <c r="C108" t="s">
        <v>32</v>
      </c>
      <c r="D108" s="2">
        <f t="shared" si="4"/>
        <v>6.8379629628907423E-2</v>
      </c>
      <c r="E108" s="3">
        <f t="shared" si="5"/>
        <v>1.6411111110937782</v>
      </c>
      <c r="F108">
        <v>5</v>
      </c>
    </row>
    <row r="109" spans="1:6" x14ac:dyDescent="0.2">
      <c r="A109" s="1">
        <v>44234.554305555554</v>
      </c>
      <c r="B109" s="1">
        <v>44234.685682870368</v>
      </c>
      <c r="C109" t="s">
        <v>33</v>
      </c>
      <c r="D109" s="2">
        <f t="shared" si="4"/>
        <v>0.13137731481401715</v>
      </c>
      <c r="E109" s="3">
        <f t="shared" si="5"/>
        <v>3.1530555555364117</v>
      </c>
      <c r="F109">
        <v>6</v>
      </c>
    </row>
    <row r="110" spans="1:6" x14ac:dyDescent="0.2">
      <c r="A110" s="1">
        <v>44235.39403935185</v>
      </c>
      <c r="B110" s="1">
        <v>44235.417939814812</v>
      </c>
      <c r="C110" t="s">
        <v>34</v>
      </c>
      <c r="D110" s="2">
        <f t="shared" si="4"/>
        <v>2.3900462962046731E-2</v>
      </c>
      <c r="E110" s="3">
        <f t="shared" si="5"/>
        <v>0.57361111108912155</v>
      </c>
      <c r="F110">
        <v>6</v>
      </c>
    </row>
    <row r="111" spans="1:6" x14ac:dyDescent="0.2">
      <c r="A111" s="1">
        <v>44237.826041666667</v>
      </c>
      <c r="B111" s="1">
        <v>44237.850034722222</v>
      </c>
      <c r="C111" t="s">
        <v>32</v>
      </c>
      <c r="D111" s="2">
        <f t="shared" si="4"/>
        <v>2.3993055554456078E-2</v>
      </c>
      <c r="E111" s="3">
        <f t="shared" si="5"/>
        <v>0.57583333330694586</v>
      </c>
      <c r="F111">
        <v>6</v>
      </c>
    </row>
    <row r="112" spans="1:6" x14ac:dyDescent="0.2">
      <c r="A112" s="1">
        <v>44240.615300925929</v>
      </c>
      <c r="B112" s="1">
        <v>44240.664479166669</v>
      </c>
      <c r="C112" t="s">
        <v>35</v>
      </c>
      <c r="D112" s="2">
        <f t="shared" si="4"/>
        <v>4.9178240740729962E-2</v>
      </c>
      <c r="E112" s="3">
        <f t="shared" si="5"/>
        <v>1.1802777777775191</v>
      </c>
    </row>
    <row r="113" spans="1:5" x14ac:dyDescent="0.2">
      <c r="A113" s="1"/>
      <c r="B113" s="1"/>
      <c r="D113" s="2">
        <f t="shared" si="4"/>
        <v>0</v>
      </c>
      <c r="E113" s="3">
        <f t="shared" si="5"/>
        <v>0</v>
      </c>
    </row>
    <row r="114" spans="1:5" x14ac:dyDescent="0.2">
      <c r="A114" s="1"/>
      <c r="B114" s="1"/>
      <c r="D114" s="2">
        <f t="shared" si="4"/>
        <v>0</v>
      </c>
      <c r="E114" s="3">
        <f t="shared" si="5"/>
        <v>0</v>
      </c>
    </row>
    <row r="115" spans="1:5" x14ac:dyDescent="0.2">
      <c r="A115" s="1"/>
      <c r="B115" s="1"/>
      <c r="D115" s="2">
        <f t="shared" si="4"/>
        <v>0</v>
      </c>
      <c r="E115" s="3">
        <f t="shared" si="5"/>
        <v>0</v>
      </c>
    </row>
    <row r="116" spans="1:5" x14ac:dyDescent="0.2">
      <c r="A116" s="1"/>
      <c r="B116" s="1"/>
      <c r="D116" s="2">
        <f t="shared" si="4"/>
        <v>0</v>
      </c>
      <c r="E116" s="3">
        <f t="shared" si="5"/>
        <v>0</v>
      </c>
    </row>
    <row r="117" spans="1:5" x14ac:dyDescent="0.2">
      <c r="A117" s="1"/>
      <c r="B117" s="1"/>
      <c r="D117" s="2">
        <f t="shared" si="4"/>
        <v>0</v>
      </c>
      <c r="E117" s="3">
        <f t="shared" si="5"/>
        <v>0</v>
      </c>
    </row>
    <row r="118" spans="1:5" x14ac:dyDescent="0.2">
      <c r="A118" s="1"/>
      <c r="B118" s="1"/>
      <c r="D118" s="2">
        <f t="shared" si="4"/>
        <v>0</v>
      </c>
      <c r="E118" s="3">
        <f t="shared" si="5"/>
        <v>0</v>
      </c>
    </row>
    <row r="119" spans="1:5" x14ac:dyDescent="0.2">
      <c r="A119" s="1"/>
      <c r="B119" s="1"/>
      <c r="D119" s="2">
        <f t="shared" si="4"/>
        <v>0</v>
      </c>
      <c r="E119" s="3">
        <f t="shared" si="5"/>
        <v>0</v>
      </c>
    </row>
    <row r="120" spans="1:5" x14ac:dyDescent="0.2">
      <c r="A120" s="1"/>
      <c r="B120" s="1"/>
      <c r="D120" s="2">
        <f t="shared" si="4"/>
        <v>0</v>
      </c>
      <c r="E120" s="3">
        <f t="shared" si="5"/>
        <v>0</v>
      </c>
    </row>
    <row r="121" spans="1:5" x14ac:dyDescent="0.2">
      <c r="A121" s="1"/>
      <c r="B121" s="1"/>
      <c r="D121" s="2">
        <f t="shared" si="4"/>
        <v>0</v>
      </c>
      <c r="E121" s="3">
        <f t="shared" si="5"/>
        <v>0</v>
      </c>
    </row>
    <row r="122" spans="1:5" x14ac:dyDescent="0.2">
      <c r="A122" s="1"/>
      <c r="B122" s="1"/>
      <c r="D122" s="2">
        <f t="shared" si="4"/>
        <v>0</v>
      </c>
      <c r="E122" s="3">
        <f t="shared" si="5"/>
        <v>0</v>
      </c>
    </row>
    <row r="123" spans="1:5" x14ac:dyDescent="0.2">
      <c r="A123" s="1"/>
      <c r="B123" s="1"/>
      <c r="D123" s="2">
        <f t="shared" si="4"/>
        <v>0</v>
      </c>
      <c r="E123" s="3">
        <f t="shared" si="5"/>
        <v>0</v>
      </c>
    </row>
    <row r="124" spans="1:5" x14ac:dyDescent="0.2">
      <c r="A124" s="1"/>
      <c r="B124" s="1"/>
      <c r="D124" s="2">
        <f t="shared" si="4"/>
        <v>0</v>
      </c>
      <c r="E124" s="3">
        <f t="shared" si="5"/>
        <v>0</v>
      </c>
    </row>
    <row r="125" spans="1:5" x14ac:dyDescent="0.2">
      <c r="A125" s="1"/>
      <c r="B125" s="1"/>
      <c r="D125" s="2">
        <f t="shared" si="4"/>
        <v>0</v>
      </c>
      <c r="E125" s="3">
        <f t="shared" si="5"/>
        <v>0</v>
      </c>
    </row>
    <row r="126" spans="1:5" x14ac:dyDescent="0.2">
      <c r="A126" s="1"/>
      <c r="B126" s="1"/>
      <c r="D126" s="2">
        <f t="shared" si="4"/>
        <v>0</v>
      </c>
      <c r="E126" s="3">
        <f t="shared" si="5"/>
        <v>0</v>
      </c>
    </row>
    <row r="127" spans="1:5" x14ac:dyDescent="0.2">
      <c r="A127" s="1"/>
      <c r="B127" s="1"/>
      <c r="D127" s="2">
        <f t="shared" si="4"/>
        <v>0</v>
      </c>
      <c r="E127" s="3">
        <f t="shared" si="5"/>
        <v>0</v>
      </c>
    </row>
    <row r="128" spans="1:5" x14ac:dyDescent="0.2">
      <c r="A128" s="1"/>
      <c r="B128" s="1"/>
      <c r="D128" s="2">
        <f t="shared" si="4"/>
        <v>0</v>
      </c>
      <c r="E128" s="3">
        <f t="shared" si="5"/>
        <v>0</v>
      </c>
    </row>
    <row r="129" spans="1:5" x14ac:dyDescent="0.2">
      <c r="A129" s="1"/>
      <c r="B129" s="1"/>
      <c r="D129" s="2">
        <f t="shared" si="4"/>
        <v>0</v>
      </c>
      <c r="E129" s="3">
        <f t="shared" si="5"/>
        <v>0</v>
      </c>
    </row>
    <row r="130" spans="1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C01A6-6584-1144-B784-D566B1851CB6}">
  <dimension ref="A1:B7"/>
  <sheetViews>
    <sheetView workbookViewId="0">
      <selection activeCell="A4" sqref="A4"/>
    </sheetView>
  </sheetViews>
  <sheetFormatPr baseColWidth="10" defaultRowHeight="16" x14ac:dyDescent="0.2"/>
  <cols>
    <col min="1" max="1" width="32.83203125" bestFit="1" customWidth="1"/>
    <col min="2" max="2" width="12.33203125" bestFit="1" customWidth="1"/>
    <col min="3" max="5" width="4.6640625" bestFit="1" customWidth="1"/>
  </cols>
  <sheetData>
    <row r="1" spans="1:2" x14ac:dyDescent="0.2">
      <c r="A1" s="4" t="s">
        <v>28</v>
      </c>
      <c r="B1" s="5">
        <v>6</v>
      </c>
    </row>
    <row r="3" spans="1:2" x14ac:dyDescent="0.2">
      <c r="A3" s="4" t="s">
        <v>24</v>
      </c>
      <c r="B3" t="s">
        <v>26</v>
      </c>
    </row>
    <row r="4" spans="1:2" x14ac:dyDescent="0.2">
      <c r="A4" s="5" t="s">
        <v>32</v>
      </c>
      <c r="B4" s="6">
        <v>0.57583333330694586</v>
      </c>
    </row>
    <row r="5" spans="1:2" x14ac:dyDescent="0.2">
      <c r="A5" s="5" t="s">
        <v>33</v>
      </c>
      <c r="B5" s="6">
        <v>3.1530555555364117</v>
      </c>
    </row>
    <row r="6" spans="1:2" x14ac:dyDescent="0.2">
      <c r="A6" s="5" t="s">
        <v>34</v>
      </c>
      <c r="B6" s="6">
        <v>0.57361111108912155</v>
      </c>
    </row>
    <row r="7" spans="1:2" x14ac:dyDescent="0.2">
      <c r="A7" s="5" t="s">
        <v>25</v>
      </c>
      <c r="B7" s="6">
        <v>4.3024999999324791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Jake Roden-Foreman</cp:lastModifiedBy>
  <dcterms:created xsi:type="dcterms:W3CDTF">2020-03-27T02:34:33Z</dcterms:created>
  <dcterms:modified xsi:type="dcterms:W3CDTF">2021-02-13T21:57:07Z</dcterms:modified>
</cp:coreProperties>
</file>