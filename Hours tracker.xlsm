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93E92DAC-5149-DF42-BFD6-EB52F6E0B7D9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1" i="1" l="1"/>
  <c r="E131" i="1" s="1"/>
  <c r="D132" i="1"/>
  <c r="E132" i="1" s="1"/>
  <c r="D133" i="1"/>
  <c r="E133" i="1"/>
  <c r="D134" i="1"/>
  <c r="E134" i="1"/>
  <c r="D135" i="1"/>
  <c r="E135" i="1" s="1"/>
  <c r="D136" i="1"/>
  <c r="E136" i="1" s="1"/>
  <c r="D137" i="1"/>
  <c r="E137" i="1" s="1"/>
  <c r="D138" i="1"/>
  <c r="E138" i="1"/>
  <c r="D139" i="1"/>
  <c r="E139" i="1" s="1"/>
  <c r="D140" i="1"/>
  <c r="E140" i="1" s="1"/>
  <c r="D141" i="1"/>
  <c r="E141" i="1"/>
  <c r="D142" i="1"/>
  <c r="E142" i="1"/>
  <c r="D143" i="1"/>
  <c r="E143" i="1" s="1"/>
  <c r="D144" i="1"/>
  <c r="E144" i="1" s="1"/>
  <c r="D145" i="1"/>
  <c r="E145" i="1"/>
  <c r="D146" i="1"/>
  <c r="E146" i="1"/>
  <c r="D147" i="1"/>
  <c r="E147" i="1" s="1"/>
  <c r="D148" i="1"/>
  <c r="E148" i="1" s="1"/>
  <c r="D149" i="1"/>
  <c r="E149" i="1"/>
  <c r="D150" i="1"/>
  <c r="E150" i="1"/>
  <c r="D151" i="1"/>
  <c r="E151" i="1" s="1"/>
  <c r="D152" i="1"/>
  <c r="E152" i="1" s="1"/>
  <c r="D153" i="1"/>
  <c r="E153" i="1"/>
  <c r="D154" i="1"/>
  <c r="E154" i="1"/>
  <c r="D155" i="1"/>
  <c r="E155" i="1" s="1"/>
  <c r="D156" i="1"/>
  <c r="E156" i="1" s="1"/>
  <c r="D157" i="1"/>
  <c r="E157" i="1"/>
  <c r="D158" i="1"/>
  <c r="E158" i="1"/>
  <c r="D159" i="1"/>
  <c r="E159" i="1" s="1"/>
  <c r="D160" i="1"/>
  <c r="E160" i="1" s="1"/>
  <c r="D161" i="1"/>
  <c r="E161" i="1"/>
  <c r="D162" i="1"/>
  <c r="E162" i="1"/>
  <c r="D111" i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F1" i="1" s="1"/>
  <c r="I1" i="1" s="1"/>
  <c r="J1" i="1" s="1"/>
  <c r="D127" i="1"/>
  <c r="E127" i="1" s="1"/>
  <c r="D128" i="1"/>
  <c r="E128" i="1" s="1"/>
  <c r="D129" i="1"/>
  <c r="E129" i="1" s="1"/>
  <c r="D130" i="1"/>
  <c r="E130" i="1" s="1"/>
  <c r="G1" i="1" l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<sst xmlns="http://schemas.openxmlformats.org/spreadsheetml/2006/main" count="148" uniqueCount="41">
  <si>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</si>
  <si>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</si>
  <si>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</si>
  <si>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</si>
  <si>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</si>
  <si>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</si>
  <si>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</si>
  <si>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</si>
  <si>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</si>
  <si>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</si>
  <si>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</si>
  <si>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</si>
  <si>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</si>
  <si>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</si>
  <si>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</si>
  <si>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</si>
  <si>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</si>
  <si>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</si>
  <si>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</si>
  <si>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</si>
  <si>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</si>
  <si>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</si>
  <si>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</si>
  <si>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</si>
  <si>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</si>
  <si>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</si>
  <si>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</si>
  <si>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</si>
  <si>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</si>
  <si>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</si>
  <si>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</si>
  <si>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</si>
  <si>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</si>
  <si>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</si>
  <si>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</si>
  <si>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</si>
  <si>
    <t>Working on figures</t>
  </si>
  <si>
    <t>Update mortality model</t>
  </si>
  <si>
    <t>Update charges model</t>
  </si>
  <si>
    <t>Update manuscript</t>
  </si>
  <si>
    <t>Update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</si>
</sst>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82.44032037037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3-27T10:07:23"/>
    </cacheField>
    <cacheField name="End" numFmtId="0">
      <sharedItems containsDate="1" containsBlank="1" containsMixedTypes="1" minDate="2020-03-27T16:44:36" maxDate="2021-03-26T11:25:39"/>
    </cacheField>
    <cacheField name="Description/file" numFmtId="0">
      <sharedItems containsBlank="1" count="28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s v="Finish updating descriptives. Start figures."/>
        <s v="Working on figures"/>
        <s v="Update mortality model"/>
        <s v="Update charges model"/>
        <s v="Update manuscript"/>
        <m/>
      </sharedItems>
    </cacheField>
    <cacheField name="Duration" numFmtId="164">
      <sharedItems containsSemiMixedTypes="0" containsDate="1" containsString="0" containsMixedTypes="1" minDate="1899-12-30T00:00:00" maxDate="1899-12-30T10:00:00"/>
    </cacheField>
    <cacheField name="Hours" numFmtId="2">
      <sharedItems containsSemiMixedTypes="0" containsString="0" containsNumber="1" minValue="-1062778.1230555556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d v="2021-02-13T15:56:51"/>
    <x v="22"/>
    <d v="1899-12-30T01:10:49"/>
    <n v="1.1802777777775191"/>
    <x v="5"/>
  </r>
  <r>
    <d v="2021-02-20T10:08:36"/>
    <d v="2021-02-20T11:12:45"/>
    <x v="23"/>
    <d v="1899-12-30T01:04:09"/>
    <n v="1.0691666667116806"/>
    <x v="5"/>
  </r>
  <r>
    <d v="2021-02-20T13:12:59"/>
    <d v="2021-02-20T15:25:08"/>
    <x v="20"/>
    <d v="1899-12-30T02:12:09"/>
    <n v="2.2024999998975545"/>
    <x v="5"/>
  </r>
  <r>
    <d v="2021-02-20T16:22:19"/>
    <d v="2021-02-20T17:20:13"/>
    <x v="24"/>
    <d v="1899-12-30T00:57:54"/>
    <n v="0.96500000014202669"/>
    <x v="5"/>
  </r>
  <r>
    <d v="2021-02-20T19:18:30"/>
    <d v="2021-02-20T19:53:30"/>
    <x v="24"/>
    <d v="1899-12-30T00:35:00"/>
    <n v="0.58333333331393078"/>
    <x v="5"/>
  </r>
  <r>
    <d v="2021-02-27T14:08:46"/>
    <d v="2021-02-27T15:57:42"/>
    <x v="24"/>
    <d v="1899-12-30T01:48:56"/>
    <n v="1.815555555629544"/>
    <x v="5"/>
  </r>
  <r>
    <d v="2021-02-28T13:09:43"/>
    <d v="2021-02-28T15:45:21"/>
    <x v="24"/>
    <d v="1899-12-30T02:35:38"/>
    <n v="2.5938888887758367"/>
    <x v="5"/>
  </r>
  <r>
    <d v="2021-03-13T09:35:07"/>
    <d v="2021-03-13T11:13:19"/>
    <x v="24"/>
    <d v="1899-12-30T01:38:12"/>
    <n v="1.6366666666581295"/>
    <x v="5"/>
  </r>
  <r>
    <d v="2021-03-13T12:18:03"/>
    <d v="2021-03-13T13:25:37"/>
    <x v="24"/>
    <d v="1899-12-30T01:07:34"/>
    <n v="1.1261111111962236"/>
    <x v="5"/>
  </r>
  <r>
    <d v="2021-03-15T09:48:12"/>
    <d v="2021-03-15T11:28:31"/>
    <x v="25"/>
    <d v="1899-12-30T01:40:19"/>
    <n v="1.6719444443006068"/>
    <x v="5"/>
  </r>
  <r>
    <d v="2021-03-15T15:16:10"/>
    <d v="2021-03-15T16:34:58"/>
    <x v="25"/>
    <d v="1899-12-30T01:18:48"/>
    <n v="1.313333333353512"/>
    <x v="5"/>
  </r>
  <r>
    <d v="2021-03-17T15:13:12"/>
    <d v="2021-03-17T16:28:35"/>
    <x v="26"/>
    <d v="1899-12-30T01:15:23"/>
    <n v="1.2563888890435919"/>
    <x v="5"/>
  </r>
  <r>
    <d v="2021-03-18T09:28:47"/>
    <d v="2021-03-18T10:19:59"/>
    <x v="26"/>
    <d v="1899-12-30T00:51:12"/>
    <n v="0.85333333321614191"/>
    <x v="5"/>
  </r>
  <r>
    <d v="2021-03-19T10:24:36"/>
    <d v="2021-03-19T12:07:55"/>
    <x v="26"/>
    <d v="1899-12-30T01:43:19"/>
    <n v="1.7219444444635883"/>
    <x v="5"/>
  </r>
  <r>
    <d v="2021-03-26T09:59:36"/>
    <d v="2021-03-26T11:25:39"/>
    <x v="17"/>
    <d v="1899-12-30T01:26:03"/>
    <n v="1.4341666666441597"/>
    <x v="5"/>
  </r>
  <r>
    <d v="2021-03-27T10:07:23"/>
    <m/>
    <x v="27"/>
    <n v="-44282.421793981484"/>
    <n v="-1062778.1230555556"/>
    <x v="6"/>
  </r>
  <r>
    <m/>
    <m/>
    <x v="27"/>
    <d v="1899-12-30T00:00:00"/>
    <n v="0"/>
    <x v="6"/>
  </r>
  <r>
    <m/>
    <m/>
    <x v="27"/>
    <d v="1899-12-30T00:00:00"/>
    <n v="0"/>
    <x v="6"/>
  </r>
  <r>
    <m/>
    <m/>
    <x v="27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 rowPageCount="1" colPageCount="1"/>
  <pivotFields count="6">
    <pivotField multipleItemSelectionAllowed="1" showAll="0"/>
    <pivotField showAll="0"/>
    <pivotField axis="axisRow" showAll="0">
      <items count="29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7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10"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62"/>
  <sheetViews>
    <sheetView tabSelected="1" zoomScale="118" zoomScaleNormal="118" workbookViewId="0">
      <pane ySplit="3" topLeftCell="A112" activePane="bottomLeft" state="frozen"/>
      <selection pane="bottomLeft" activeCell="C128" sqref="C128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209.23722222191282</v>
      </c>
      <c r="G1" s="7">
        <f>F1/320</f>
        <v>0.65386631944347751</v>
      </c>
      <c r="H1" t="s">
        <v>7</v>
      </c>
      <c r="I1" s="3">
        <f>320-F1</f>
        <v>110.76277777808718</v>
      </c>
      <c r="J1" s="7">
        <f>I1/320</f>
        <v>0.34613368055652244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  <c r="F112">
        <v>6</v>
      </c>
    </row>
    <row r="113" spans="1:6" x14ac:dyDescent="0.2">
      <c r="A113" s="1">
        <v>44247.422638888886</v>
      </c>
      <c r="B113" s="1">
        <v>44247.467187499999</v>
      </c>
      <c r="C113" t="s">
        <v>36</v>
      </c>
      <c r="D113" s="2">
        <f t="shared" si="4"/>
        <v>4.4548611112986691E-2</v>
      </c>
      <c r="E113" s="3">
        <f t="shared" si="5"/>
        <v>1.0691666667116806</v>
      </c>
      <c r="F113">
        <v>6</v>
      </c>
    </row>
    <row r="114" spans="1:6" x14ac:dyDescent="0.2">
      <c r="A114" s="1">
        <v>44247.550682870373</v>
      </c>
      <c r="B114" s="1">
        <v>44247.642453703702</v>
      </c>
      <c r="C114" t="s">
        <v>33</v>
      </c>
      <c r="D114" s="2">
        <f t="shared" si="4"/>
        <v>9.1770833329064772E-2</v>
      </c>
      <c r="E114" s="3">
        <f t="shared" si="5"/>
        <v>2.2024999998975545</v>
      </c>
      <c r="F114">
        <v>6</v>
      </c>
    </row>
    <row r="115" spans="1:6" x14ac:dyDescent="0.2">
      <c r="A115" s="1">
        <v>44247.682164351849</v>
      </c>
      <c r="B115" s="1">
        <v>44247.722372685188</v>
      </c>
      <c r="C115" t="s">
        <v>37</v>
      </c>
      <c r="D115" s="2">
        <f t="shared" si="4"/>
        <v>4.0208333339251112E-2</v>
      </c>
      <c r="E115" s="3">
        <f t="shared" si="5"/>
        <v>0.96500000014202669</v>
      </c>
      <c r="F115">
        <v>6</v>
      </c>
    </row>
    <row r="116" spans="1:6" x14ac:dyDescent="0.2">
      <c r="A116" s="1">
        <v>44247.804513888892</v>
      </c>
      <c r="B116" s="1">
        <v>44247.828819444447</v>
      </c>
      <c r="C116" t="s">
        <v>37</v>
      </c>
      <c r="D116" s="2">
        <f t="shared" si="4"/>
        <v>2.4305555554747116E-2</v>
      </c>
      <c r="E116" s="3">
        <f t="shared" si="5"/>
        <v>0.58333333331393078</v>
      </c>
      <c r="F116">
        <v>6</v>
      </c>
    </row>
    <row r="117" spans="1:6" x14ac:dyDescent="0.2">
      <c r="A117" s="1">
        <v>44254.589421296296</v>
      </c>
      <c r="B117" s="1">
        <v>44254.665069444447</v>
      </c>
      <c r="C117" t="s">
        <v>37</v>
      </c>
      <c r="D117" s="2">
        <f t="shared" si="4"/>
        <v>7.5648148151230998E-2</v>
      </c>
      <c r="E117" s="3">
        <f t="shared" si="5"/>
        <v>1.815555555629544</v>
      </c>
      <c r="F117">
        <v>6</v>
      </c>
    </row>
    <row r="118" spans="1:6" x14ac:dyDescent="0.2">
      <c r="A118" s="1">
        <v>44255.548414351855</v>
      </c>
      <c r="B118" s="1">
        <v>44255.656493055554</v>
      </c>
      <c r="C118" t="s">
        <v>37</v>
      </c>
      <c r="D118" s="2">
        <f t="shared" si="4"/>
        <v>0.10807870369899319</v>
      </c>
      <c r="E118" s="3">
        <f t="shared" si="5"/>
        <v>2.5938888887758367</v>
      </c>
      <c r="F118">
        <v>6</v>
      </c>
    </row>
    <row r="119" spans="1:6" x14ac:dyDescent="0.2">
      <c r="A119" s="1">
        <v>44268.399386574078</v>
      </c>
      <c r="B119" s="1">
        <v>44268.467581018522</v>
      </c>
      <c r="C119" t="s">
        <v>37</v>
      </c>
      <c r="D119" s="2">
        <f t="shared" si="4"/>
        <v>6.8194444444088731E-2</v>
      </c>
      <c r="E119" s="3">
        <f t="shared" si="5"/>
        <v>1.6366666666581295</v>
      </c>
      <c r="F119">
        <v>6</v>
      </c>
    </row>
    <row r="120" spans="1:6" x14ac:dyDescent="0.2">
      <c r="A120" s="1">
        <v>44268.51253472222</v>
      </c>
      <c r="B120" s="1">
        <v>44268.55945601852</v>
      </c>
      <c r="C120" t="s">
        <v>37</v>
      </c>
      <c r="D120" s="2">
        <f t="shared" si="4"/>
        <v>4.6921296299842652E-2</v>
      </c>
      <c r="E120" s="3">
        <f t="shared" si="5"/>
        <v>1.1261111111962236</v>
      </c>
      <c r="F120">
        <v>6</v>
      </c>
    </row>
    <row r="121" spans="1:6" x14ac:dyDescent="0.2">
      <c r="A121" s="1">
        <v>44270.408472222225</v>
      </c>
      <c r="B121" s="1">
        <v>44270.478136574071</v>
      </c>
      <c r="C121" t="s">
        <v>38</v>
      </c>
      <c r="D121" s="2">
        <f t="shared" si="4"/>
        <v>6.9664351845858619E-2</v>
      </c>
      <c r="E121" s="3">
        <f t="shared" si="5"/>
        <v>1.6719444443006068</v>
      </c>
      <c r="F121">
        <v>6</v>
      </c>
    </row>
    <row r="122" spans="1:6" x14ac:dyDescent="0.2">
      <c r="A122" s="1">
        <v>44270.63622685185</v>
      </c>
      <c r="B122" s="1">
        <v>44270.690949074073</v>
      </c>
      <c r="C122" t="s">
        <v>38</v>
      </c>
      <c r="D122" s="2">
        <f t="shared" si="4"/>
        <v>5.4722222223063E-2</v>
      </c>
      <c r="E122" s="3">
        <f t="shared" si="5"/>
        <v>1.313333333353512</v>
      </c>
      <c r="F122">
        <v>6</v>
      </c>
    </row>
    <row r="123" spans="1:6" x14ac:dyDescent="0.2">
      <c r="A123" s="1">
        <v>44272.634166666663</v>
      </c>
      <c r="B123" s="1">
        <v>44272.686516203707</v>
      </c>
      <c r="C123" t="s">
        <v>39</v>
      </c>
      <c r="D123" s="2">
        <f t="shared" si="4"/>
        <v>5.2349537043482997E-2</v>
      </c>
      <c r="E123" s="3">
        <f t="shared" si="5"/>
        <v>1.2563888890435919</v>
      </c>
      <c r="F123">
        <v>6</v>
      </c>
    </row>
    <row r="124" spans="1:6" x14ac:dyDescent="0.2">
      <c r="A124" s="1">
        <v>44273.394988425927</v>
      </c>
      <c r="B124" s="1">
        <v>44273.430543981478</v>
      </c>
      <c r="C124" t="s">
        <v>39</v>
      </c>
      <c r="D124" s="2">
        <f t="shared" si="4"/>
        <v>3.555555555067258E-2</v>
      </c>
      <c r="E124" s="3">
        <f t="shared" si="5"/>
        <v>0.85333333321614191</v>
      </c>
      <c r="F124">
        <v>6</v>
      </c>
    </row>
    <row r="125" spans="1:6" x14ac:dyDescent="0.2">
      <c r="A125" s="1">
        <v>44274.433749999997</v>
      </c>
      <c r="B125" s="1">
        <v>44274.505497685182</v>
      </c>
      <c r="C125" t="s">
        <v>39</v>
      </c>
      <c r="D125" s="2">
        <f t="shared" si="4"/>
        <v>7.1747685185982846E-2</v>
      </c>
      <c r="E125" s="3">
        <f t="shared" si="5"/>
        <v>1.7219444444635883</v>
      </c>
      <c r="F125">
        <v>6</v>
      </c>
    </row>
    <row r="126" spans="1:6" x14ac:dyDescent="0.2">
      <c r="A126" s="1">
        <v>44281.416388888887</v>
      </c>
      <c r="B126" s="1">
        <v>44281.476145833331</v>
      </c>
      <c r="C126" t="s">
        <v>30</v>
      </c>
      <c r="D126" s="2">
        <f t="shared" si="4"/>
        <v>5.9756944443506654E-2</v>
      </c>
      <c r="E126" s="3">
        <f t="shared" si="5"/>
        <v>1.4341666666441597</v>
      </c>
      <c r="F126">
        <v>6</v>
      </c>
    </row>
    <row r="127" spans="1:6" x14ac:dyDescent="0.2">
      <c r="A127" s="1">
        <v>44282.421793981484</v>
      </c>
      <c r="B127" s="1">
        <v>44282.440324074072</v>
      </c>
      <c r="C127" t="s">
        <v>40</v>
      </c>
      <c r="D127" s="2">
        <f t="shared" si="4"/>
        <v>1.8530092587752733E-2</v>
      </c>
      <c r="E127" s="3">
        <f t="shared" si="5"/>
        <v>0.4447222221060656</v>
      </c>
      <c r="F127">
        <v>6</v>
      </c>
    </row>
    <row r="128" spans="1:6" x14ac:dyDescent="0.2">
      <c r="A128" s="1">
        <v>44284.828530092593</v>
      </c>
      <c r="B128" s="1">
        <v>44284.862696759257</v>
      </c>
      <c r="C128" t="s">
        <v>40</v>
      </c>
      <c r="D128" s="2">
        <f t="shared" si="4"/>
        <v>3.4166666664532386E-2</v>
      </c>
      <c r="E128" s="3">
        <f t="shared" si="5"/>
        <v>0.81999999994877726</v>
      </c>
      <c r="F128">
        <v>6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  <row r="131" spans="1:5" x14ac:dyDescent="0.2">
      <c r="D131" s="2">
        <f t="shared" ref="D131:D162" si="6">B131-A131</f>
        <v>0</v>
      </c>
      <c r="E131" s="3">
        <f t="shared" ref="E131:E162" si="7">D131*24</f>
        <v>0</v>
      </c>
    </row>
    <row r="132" spans="1:5" x14ac:dyDescent="0.2">
      <c r="D132" s="2">
        <f t="shared" si="6"/>
        <v>0</v>
      </c>
      <c r="E132" s="3">
        <f t="shared" si="7"/>
        <v>0</v>
      </c>
    </row>
    <row r="133" spans="1:5" x14ac:dyDescent="0.2">
      <c r="D133" s="2">
        <f t="shared" si="6"/>
        <v>0</v>
      </c>
      <c r="E133" s="3">
        <f t="shared" si="7"/>
        <v>0</v>
      </c>
    </row>
    <row r="134" spans="1:5" x14ac:dyDescent="0.2">
      <c r="D134" s="2">
        <f t="shared" si="6"/>
        <v>0</v>
      </c>
      <c r="E134" s="3">
        <f t="shared" si="7"/>
        <v>0</v>
      </c>
    </row>
    <row r="135" spans="1:5" x14ac:dyDescent="0.2">
      <c r="D135" s="2">
        <f t="shared" si="6"/>
        <v>0</v>
      </c>
      <c r="E135" s="3">
        <f t="shared" si="7"/>
        <v>0</v>
      </c>
    </row>
    <row r="136" spans="1:5" x14ac:dyDescent="0.2">
      <c r="D136" s="2">
        <f t="shared" si="6"/>
        <v>0</v>
      </c>
      <c r="E136" s="3">
        <f t="shared" si="7"/>
        <v>0</v>
      </c>
    </row>
    <row r="137" spans="1:5" x14ac:dyDescent="0.2">
      <c r="D137" s="2">
        <f t="shared" si="6"/>
        <v>0</v>
      </c>
      <c r="E137" s="3">
        <f t="shared" si="7"/>
        <v>0</v>
      </c>
    </row>
    <row r="138" spans="1:5" x14ac:dyDescent="0.2">
      <c r="D138" s="2">
        <f t="shared" si="6"/>
        <v>0</v>
      </c>
      <c r="E138" s="3">
        <f t="shared" si="7"/>
        <v>0</v>
      </c>
    </row>
    <row r="139" spans="1:5" x14ac:dyDescent="0.2">
      <c r="D139" s="2">
        <f t="shared" si="6"/>
        <v>0</v>
      </c>
      <c r="E139" s="3">
        <f t="shared" si="7"/>
        <v>0</v>
      </c>
    </row>
    <row r="140" spans="1:5" x14ac:dyDescent="0.2">
      <c r="D140" s="2">
        <f t="shared" si="6"/>
        <v>0</v>
      </c>
      <c r="E140" s="3">
        <f t="shared" si="7"/>
        <v>0</v>
      </c>
    </row>
    <row r="141" spans="1:5" x14ac:dyDescent="0.2">
      <c r="D141" s="2">
        <f t="shared" si="6"/>
        <v>0</v>
      </c>
      <c r="E141" s="3">
        <f t="shared" si="7"/>
        <v>0</v>
      </c>
    </row>
    <row r="142" spans="1:5" x14ac:dyDescent="0.2">
      <c r="D142" s="2">
        <f t="shared" si="6"/>
        <v>0</v>
      </c>
      <c r="E142" s="3">
        <f t="shared" si="7"/>
        <v>0</v>
      </c>
    </row>
    <row r="143" spans="1:5" x14ac:dyDescent="0.2">
      <c r="D143" s="2">
        <f t="shared" si="6"/>
        <v>0</v>
      </c>
      <c r="E143" s="3">
        <f t="shared" si="7"/>
        <v>0</v>
      </c>
    </row>
    <row r="144" spans="1:5" x14ac:dyDescent="0.2">
      <c r="D144" s="2">
        <f t="shared" si="6"/>
        <v>0</v>
      </c>
      <c r="E144" s="3">
        <f t="shared" si="7"/>
        <v>0</v>
      </c>
    </row>
    <row r="145" spans="4:5" x14ac:dyDescent="0.2">
      <c r="D145" s="2">
        <f t="shared" si="6"/>
        <v>0</v>
      </c>
      <c r="E145" s="3">
        <f t="shared" si="7"/>
        <v>0</v>
      </c>
    </row>
    <row r="146" spans="4:5" x14ac:dyDescent="0.2">
      <c r="D146" s="2">
        <f t="shared" si="6"/>
        <v>0</v>
      </c>
      <c r="E146" s="3">
        <f t="shared" si="7"/>
        <v>0</v>
      </c>
    </row>
    <row r="147" spans="4:5" x14ac:dyDescent="0.2">
      <c r="D147" s="2">
        <f t="shared" si="6"/>
        <v>0</v>
      </c>
      <c r="E147" s="3">
        <f t="shared" si="7"/>
        <v>0</v>
      </c>
    </row>
    <row r="148" spans="4:5" x14ac:dyDescent="0.2">
      <c r="D148" s="2">
        <f t="shared" si="6"/>
        <v>0</v>
      </c>
      <c r="E148" s="3">
        <f t="shared" si="7"/>
        <v>0</v>
      </c>
    </row>
    <row r="149" spans="4:5" x14ac:dyDescent="0.2">
      <c r="D149" s="2">
        <f t="shared" si="6"/>
        <v>0</v>
      </c>
      <c r="E149" s="3">
        <f t="shared" si="7"/>
        <v>0</v>
      </c>
    </row>
    <row r="150" spans="4:5" x14ac:dyDescent="0.2">
      <c r="D150" s="2">
        <f t="shared" si="6"/>
        <v>0</v>
      </c>
      <c r="E150" s="3">
        <f t="shared" si="7"/>
        <v>0</v>
      </c>
    </row>
    <row r="151" spans="4:5" x14ac:dyDescent="0.2">
      <c r="D151" s="2">
        <f t="shared" si="6"/>
        <v>0</v>
      </c>
      <c r="E151" s="3">
        <f t="shared" si="7"/>
        <v>0</v>
      </c>
    </row>
    <row r="152" spans="4:5" x14ac:dyDescent="0.2">
      <c r="D152" s="2">
        <f t="shared" si="6"/>
        <v>0</v>
      </c>
      <c r="E152" s="3">
        <f t="shared" si="7"/>
        <v>0</v>
      </c>
    </row>
    <row r="153" spans="4:5" x14ac:dyDescent="0.2">
      <c r="D153" s="2">
        <f t="shared" si="6"/>
        <v>0</v>
      </c>
      <c r="E153" s="3">
        <f t="shared" si="7"/>
        <v>0</v>
      </c>
    </row>
    <row r="154" spans="4:5" x14ac:dyDescent="0.2">
      <c r="D154" s="2">
        <f t="shared" si="6"/>
        <v>0</v>
      </c>
      <c r="E154" s="3">
        <f t="shared" si="7"/>
        <v>0</v>
      </c>
    </row>
    <row r="155" spans="4:5" x14ac:dyDescent="0.2">
      <c r="D155" s="2">
        <f t="shared" si="6"/>
        <v>0</v>
      </c>
      <c r="E155" s="3">
        <f t="shared" si="7"/>
        <v>0</v>
      </c>
    </row>
    <row r="156" spans="4:5" x14ac:dyDescent="0.2">
      <c r="D156" s="2">
        <f t="shared" si="6"/>
        <v>0</v>
      </c>
      <c r="E156" s="3">
        <f t="shared" si="7"/>
        <v>0</v>
      </c>
    </row>
    <row r="157" spans="4:5" x14ac:dyDescent="0.2">
      <c r="D157" s="2">
        <f t="shared" si="6"/>
        <v>0</v>
      </c>
      <c r="E157" s="3">
        <f t="shared" si="7"/>
        <v>0</v>
      </c>
    </row>
    <row r="158" spans="4:5" x14ac:dyDescent="0.2">
      <c r="D158" s="2">
        <f t="shared" si="6"/>
        <v>0</v>
      </c>
      <c r="E158" s="3">
        <f t="shared" si="7"/>
        <v>0</v>
      </c>
    </row>
    <row r="159" spans="4:5" x14ac:dyDescent="0.2">
      <c r="D159" s="2">
        <f t="shared" si="6"/>
        <v>0</v>
      </c>
      <c r="E159" s="3">
        <f t="shared" si="7"/>
        <v>0</v>
      </c>
    </row>
    <row r="160" spans="4:5" x14ac:dyDescent="0.2">
      <c r="D160" s="2">
        <f t="shared" si="6"/>
        <v>0</v>
      </c>
      <c r="E160" s="3">
        <f t="shared" si="7"/>
        <v>0</v>
      </c>
    </row>
    <row r="161" spans="4:5" x14ac:dyDescent="0.2">
      <c r="D161" s="2">
        <f t="shared" si="6"/>
        <v>0</v>
      </c>
      <c r="E161" s="3">
        <f t="shared" si="7"/>
        <v>0</v>
      </c>
    </row>
    <row r="162" spans="4:5" x14ac:dyDescent="0.2">
      <c r="D162" s="2">
        <f t="shared" si="6"/>
        <v>0</v>
      </c>
      <c r="E162" s="3">
        <f t="shared" si="7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3"/>
  <sheetViews>
    <sheetView workbookViewId="0">
      <selection activeCell="A4" sqref="A4"/>
    </sheetView>
  </sheetViews>
  <sheetFormatPr baseColWidth="10" defaultRowHeight="16" x14ac:dyDescent="0.2"/>
  <cols>
    <col min="1" max="1" width="36.16406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30</v>
      </c>
      <c r="B4" s="6">
        <v>1.4341666666441597</v>
      </c>
    </row>
    <row r="5" spans="1:2" x14ac:dyDescent="0.2">
      <c r="A5" s="5" t="s">
        <v>32</v>
      </c>
      <c r="B5" s="6">
        <v>0.57583333330694586</v>
      </c>
    </row>
    <row r="6" spans="1:2" x14ac:dyDescent="0.2">
      <c r="A6" s="5" t="s">
        <v>33</v>
      </c>
      <c r="B6" s="6">
        <v>5.3555555554339662</v>
      </c>
    </row>
    <row r="7" spans="1:2" x14ac:dyDescent="0.2">
      <c r="A7" s="5" t="s">
        <v>34</v>
      </c>
      <c r="B7" s="6">
        <v>0.57361111108912155</v>
      </c>
    </row>
    <row r="8" spans="1:2" x14ac:dyDescent="0.2">
      <c r="A8" s="5" t="s">
        <v>35</v>
      </c>
      <c r="B8" s="6">
        <v>1.1802777777775191</v>
      </c>
    </row>
    <row r="9" spans="1:2" x14ac:dyDescent="0.2">
      <c r="A9" s="5" t="s">
        <v>36</v>
      </c>
      <c r="B9" s="6">
        <v>1.0691666667116806</v>
      </c>
    </row>
    <row r="10" spans="1:2" x14ac:dyDescent="0.2">
      <c r="A10" s="5" t="s">
        <v>37</v>
      </c>
      <c r="B10" s="6">
        <v>8.7205555557156913</v>
      </c>
    </row>
    <row r="11" spans="1:2" x14ac:dyDescent="0.2">
      <c r="A11" s="5" t="s">
        <v>38</v>
      </c>
      <c r="B11" s="6">
        <v>2.9852777776541188</v>
      </c>
    </row>
    <row r="12" spans="1:2" x14ac:dyDescent="0.2">
      <c r="A12" s="5" t="s">
        <v>39</v>
      </c>
      <c r="B12" s="6">
        <v>3.8316666667233221</v>
      </c>
    </row>
    <row r="13" spans="1:2" x14ac:dyDescent="0.2">
      <c r="A13" s="5" t="s">
        <v>25</v>
      </c>
      <c r="B13" s="6">
        <v>25.726111111056525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2021-03-30T01:42:24Z</dcterms:modified>
</cp:coreProperties>
</file>