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44E32543-AFC3-8F40-9A55-BBBE70A4F6E5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1" i="1" l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F1" i="1" l="1"/>
  <c r="I1" i="1" s="1"/>
  <c r="J1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G1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<sst xmlns="http://schemas.openxmlformats.org/spreadsheetml/2006/main" count="128" uniqueCount="37">
  <si>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</si>
  <si>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</si>
  <si>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</si>
  <si>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</si>
  <si>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</si>
  <si>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</si>
  <si>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</si>
  <si>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</si>
  <si>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</si>
  <si>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</si>
  <si>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</si>
  <si>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</si>
  <si>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</si>
  <si>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</si>
  <si>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</si>
  <si>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</si>
  <si>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</si>
  <si>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</si>
  <si>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</si>
  <si>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</si>
  <si>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</si>
  <si>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</si>
  <si>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</si>
  <si>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</si>
  <si>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</si>
  <si>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</si>
  <si>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</si>
  <si>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</si>
  <si>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</si>
  <si>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</si>
  <si>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</si>
  <si>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</si>
  <si>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</si>
  <si>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</si>
  <si>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</si>
  <si>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</si>
  <si>
    <t>Working on figures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</si>
</sst>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40.664474652775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2-13T14:46:02"/>
    </cacheField>
    <cacheField name="End" numFmtId="0">
      <sharedItems containsDate="1" containsBlank="1" containsMixedTypes="1" minDate="2020-03-27T16:44:36" maxDate="2021-02-10T20:24:03"/>
    </cacheField>
    <cacheField name="Description/file" numFmtId="0">
      <sharedItems containsBlank="1" count="23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m/>
      </sharedItems>
    </cacheField>
    <cacheField name="Duration" numFmtId="164">
      <sharedItems containsSemiMixedTypes="0" containsDate="1" containsString="0" containsMixedTypes="1" minDate="1900-01-06T13:52:12" maxDate="1899-12-30T10:00:00"/>
    </cacheField>
    <cacheField name="Hours" numFmtId="2">
      <sharedItems containsSemiMixedTypes="0" containsString="0" containsNumber="1" minValue="-1061774.7672222224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m/>
    <x v="22"/>
    <n v="-44240.615300925929"/>
    <n v="-1061774.7672222224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 rowPageCount="1" colPageCount="1"/>
  <pivotFields count="6">
    <pivotField multipleItemSelectionAllowed="1" showAll="0"/>
    <pivotField showAll="0"/>
    <pivotField axis="axisRow" showAll="0">
      <items count="24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2"/>
        <item x="16"/>
        <item x="17"/>
        <item x="18"/>
        <item x="19"/>
        <item x="20"/>
        <item x="21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4">
    <i>
      <x v="20"/>
    </i>
    <i>
      <x v="21"/>
    </i>
    <i>
      <x v="22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zoomScale="118" zoomScaleNormal="118" workbookViewId="0">
      <pane ySplit="3" topLeftCell="A99" activePane="bottomLeft" state="frozen"/>
      <selection pane="bottomLeft" activeCell="A115" sqref="A115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191.00083333312068</v>
      </c>
      <c r="G1" s="7">
        <f>F1/320</f>
        <v>0.59687760416600211</v>
      </c>
      <c r="H1" t="s">
        <v>7</v>
      </c>
      <c r="I1" s="3">
        <f>320-F1</f>
        <v>128.99916666687932</v>
      </c>
      <c r="J1" s="7">
        <f>I1/320</f>
        <v>0.40312239583399789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  <c r="F112">
        <v>6</v>
      </c>
    </row>
    <row r="113" spans="1:6" x14ac:dyDescent="0.2">
      <c r="A113" s="1">
        <v>44247.422638888886</v>
      </c>
      <c r="B113" s="1">
        <v>44247.467187499999</v>
      </c>
      <c r="C113" t="s">
        <v>36</v>
      </c>
      <c r="D113" s="2">
        <f t="shared" si="4"/>
        <v>4.4548611112986691E-2</v>
      </c>
      <c r="E113" s="3">
        <f t="shared" si="5"/>
        <v>1.0691666667116806</v>
      </c>
      <c r="F113">
        <v>6</v>
      </c>
    </row>
    <row r="114" spans="1:6" x14ac:dyDescent="0.2">
      <c r="A114" s="1">
        <v>44247.550682870373</v>
      </c>
      <c r="B114" s="1">
        <v>44247.642453703702</v>
      </c>
      <c r="C114" t="s">
        <v>33</v>
      </c>
      <c r="D114" s="2">
        <f t="shared" si="4"/>
        <v>9.1770833329064772E-2</v>
      </c>
      <c r="E114" s="3">
        <f t="shared" si="5"/>
        <v>2.2024999998975545</v>
      </c>
      <c r="F114">
        <v>6</v>
      </c>
    </row>
    <row r="115" spans="1:6" x14ac:dyDescent="0.2">
      <c r="A115" s="1">
        <v>44247.682164351849</v>
      </c>
      <c r="B115" s="1"/>
      <c r="D115" s="2">
        <f t="shared" si="4"/>
        <v>-44247.682164351849</v>
      </c>
      <c r="E115" s="3">
        <f t="shared" si="5"/>
        <v>-1061944.3719444443</v>
      </c>
    </row>
    <row r="116" spans="1:6" x14ac:dyDescent="0.2">
      <c r="A116" s="1"/>
      <c r="B116" s="1"/>
      <c r="D116" s="2">
        <f t="shared" si="4"/>
        <v>0</v>
      </c>
      <c r="E116" s="3">
        <f t="shared" si="5"/>
        <v>0</v>
      </c>
    </row>
    <row r="117" spans="1:6" x14ac:dyDescent="0.2">
      <c r="A117" s="1"/>
      <c r="B117" s="1"/>
      <c r="D117" s="2">
        <f t="shared" si="4"/>
        <v>0</v>
      </c>
      <c r="E117" s="3">
        <f t="shared" si="5"/>
        <v>0</v>
      </c>
    </row>
    <row r="118" spans="1:6" x14ac:dyDescent="0.2">
      <c r="A118" s="1"/>
      <c r="B118" s="1"/>
      <c r="D118" s="2">
        <f t="shared" si="4"/>
        <v>0</v>
      </c>
      <c r="E118" s="3">
        <f t="shared" si="5"/>
        <v>0</v>
      </c>
    </row>
    <row r="119" spans="1:6" x14ac:dyDescent="0.2">
      <c r="A119" s="1"/>
      <c r="B119" s="1"/>
      <c r="D119" s="2">
        <f t="shared" si="4"/>
        <v>0</v>
      </c>
      <c r="E119" s="3">
        <f t="shared" si="5"/>
        <v>0</v>
      </c>
    </row>
    <row r="120" spans="1:6" x14ac:dyDescent="0.2">
      <c r="A120" s="1"/>
      <c r="B120" s="1"/>
      <c r="D120" s="2">
        <f t="shared" si="4"/>
        <v>0</v>
      </c>
      <c r="E120" s="3">
        <f t="shared" si="5"/>
        <v>0</v>
      </c>
    </row>
    <row r="121" spans="1:6" x14ac:dyDescent="0.2">
      <c r="A121" s="1"/>
      <c r="B121" s="1"/>
      <c r="D121" s="2">
        <f t="shared" si="4"/>
        <v>0</v>
      </c>
      <c r="E121" s="3">
        <f t="shared" si="5"/>
        <v>0</v>
      </c>
    </row>
    <row r="122" spans="1:6" x14ac:dyDescent="0.2">
      <c r="A122" s="1"/>
      <c r="B122" s="1"/>
      <c r="D122" s="2">
        <f t="shared" si="4"/>
        <v>0</v>
      </c>
      <c r="E122" s="3">
        <f t="shared" si="5"/>
        <v>0</v>
      </c>
    </row>
    <row r="123" spans="1:6" x14ac:dyDescent="0.2">
      <c r="A123" s="1"/>
      <c r="B123" s="1"/>
      <c r="D123" s="2">
        <f t="shared" si="4"/>
        <v>0</v>
      </c>
      <c r="E123" s="3">
        <f t="shared" si="5"/>
        <v>0</v>
      </c>
    </row>
    <row r="124" spans="1:6" x14ac:dyDescent="0.2">
      <c r="A124" s="1"/>
      <c r="B124" s="1"/>
      <c r="D124" s="2">
        <f t="shared" si="4"/>
        <v>0</v>
      </c>
      <c r="E124" s="3">
        <f t="shared" si="5"/>
        <v>0</v>
      </c>
    </row>
    <row r="125" spans="1:6" x14ac:dyDescent="0.2">
      <c r="A125" s="1"/>
      <c r="B125" s="1"/>
      <c r="D125" s="2">
        <f t="shared" si="4"/>
        <v>0</v>
      </c>
      <c r="E125" s="3">
        <f t="shared" si="5"/>
        <v>0</v>
      </c>
    </row>
    <row r="126" spans="1:6" x14ac:dyDescent="0.2">
      <c r="A126" s="1"/>
      <c r="B126" s="1"/>
      <c r="D126" s="2">
        <f t="shared" si="4"/>
        <v>0</v>
      </c>
      <c r="E126" s="3">
        <f t="shared" si="5"/>
        <v>0</v>
      </c>
    </row>
    <row r="127" spans="1:6" x14ac:dyDescent="0.2">
      <c r="A127" s="1"/>
      <c r="B127" s="1"/>
      <c r="D127" s="2">
        <f t="shared" si="4"/>
        <v>0</v>
      </c>
      <c r="E127" s="3">
        <f t="shared" si="5"/>
        <v>0</v>
      </c>
    </row>
    <row r="128" spans="1:6" x14ac:dyDescent="0.2">
      <c r="A128" s="1"/>
      <c r="B128" s="1"/>
      <c r="D128" s="2">
        <f t="shared" si="4"/>
        <v>0</v>
      </c>
      <c r="E128" s="3">
        <f t="shared" si="5"/>
        <v>0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7"/>
  <sheetViews>
    <sheetView workbookViewId="0">
      <selection activeCell="A4" sqref="A4"/>
    </sheetView>
  </sheetViews>
  <sheetFormatPr baseColWidth="10" defaultRowHeight="16" x14ac:dyDescent="0.2"/>
  <cols>
    <col min="1" max="1" width="32.832031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32</v>
      </c>
      <c r="B4" s="6">
        <v>0.57583333330694586</v>
      </c>
    </row>
    <row r="5" spans="1:2" x14ac:dyDescent="0.2">
      <c r="A5" s="5" t="s">
        <v>33</v>
      </c>
      <c r="B5" s="6">
        <v>3.1530555555364117</v>
      </c>
    </row>
    <row r="6" spans="1:2" x14ac:dyDescent="0.2">
      <c r="A6" s="5" t="s">
        <v>34</v>
      </c>
      <c r="B6" s="6">
        <v>0.57361111108912155</v>
      </c>
    </row>
    <row r="7" spans="1:2" x14ac:dyDescent="0.2">
      <c r="A7" s="5" t="s">
        <v>25</v>
      </c>
      <c r="B7" s="6">
        <v>4.3024999999324791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2021-02-20T22:22:23Z</dcterms:modified>
</cp:coreProperties>
</file>